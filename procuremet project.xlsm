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tiwar\OneDrive\Documents\RASIKA TIWARI\"/>
    </mc:Choice>
  </mc:AlternateContent>
  <xr:revisionPtr revIDLastSave="0" documentId="8_{4FABCFC7-9637-40AD-946F-873E63D2E7B1}" xr6:coauthVersionLast="47" xr6:coauthVersionMax="47" xr10:uidLastSave="{00000000-0000-0000-0000-000000000000}"/>
  <bookViews>
    <workbookView xWindow="-108" yWindow="-108" windowWidth="23256" windowHeight="12576" activeTab="1" xr2:uid="{00000000-000D-0000-FFFF-FFFF00000000}"/>
  </bookViews>
  <sheets>
    <sheet name="Bills_Tracking" sheetId="1" r:id="rId1"/>
    <sheet name="data_fetch1" sheetId="4" r:id="rId2"/>
    <sheet name="slicer" sheetId="6" r:id="rId3"/>
    <sheet name="pivot data1" sheetId="5" r:id="rId4"/>
  </sheets>
  <definedNames>
    <definedName name="_xlnm._FilterDatabase" localSheetId="0" hidden="1">Bills_Tracking!$K$1:$K$451</definedName>
    <definedName name="Slicer_Subsystem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C10" i="4" l="1"/>
  <c r="C11" i="4"/>
  <c r="C12" i="4"/>
  <c r="C13" i="4"/>
  <c r="C14" i="4"/>
  <c r="C15" i="4"/>
  <c r="C16" i="4"/>
  <c r="C9" i="4"/>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2"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H1048576" i="1"/>
</calcChain>
</file>

<file path=xl/sharedStrings.xml><?xml version="1.0" encoding="utf-8"?>
<sst xmlns="http://schemas.openxmlformats.org/spreadsheetml/2006/main" count="3261" uniqueCount="111">
  <si>
    <t>Date</t>
  </si>
  <si>
    <t>Vendor_Name</t>
  </si>
  <si>
    <t>Subsystem</t>
  </si>
  <si>
    <t>Component_Name</t>
  </si>
  <si>
    <t>Expense_Category</t>
  </si>
  <si>
    <t>Quantity</t>
  </si>
  <si>
    <t>Total_Amount</t>
  </si>
  <si>
    <t>Payment_Status</t>
  </si>
  <si>
    <t>Priority</t>
  </si>
  <si>
    <t>Delay_Days</t>
  </si>
  <si>
    <t>City</t>
  </si>
  <si>
    <t>Sharma Steels</t>
  </si>
  <si>
    <t>Powertrain</t>
  </si>
  <si>
    <t>CVT Belt</t>
  </si>
  <si>
    <t>Hardware</t>
  </si>
  <si>
    <t>Paid</t>
  </si>
  <si>
    <t>Low</t>
  </si>
  <si>
    <t>Bhopal</t>
  </si>
  <si>
    <t>Rajput Fabrication</t>
  </si>
  <si>
    <t>Brakes</t>
  </si>
  <si>
    <t>Brake Disc</t>
  </si>
  <si>
    <t>Consumables</t>
  </si>
  <si>
    <t>Partial</t>
  </si>
  <si>
    <t>Dewas</t>
  </si>
  <si>
    <t>Precision Tools</t>
  </si>
  <si>
    <t>Caliper</t>
  </si>
  <si>
    <t>Safety</t>
  </si>
  <si>
    <t>Pending</t>
  </si>
  <si>
    <t>High</t>
  </si>
  <si>
    <t>Indore</t>
  </si>
  <si>
    <t>Phoenix Welding</t>
  </si>
  <si>
    <t>Engine Mount</t>
  </si>
  <si>
    <t>Medium</t>
  </si>
  <si>
    <t>Ujjain</t>
  </si>
  <si>
    <t>Rathore Motors</t>
  </si>
  <si>
    <t>Fuel Pipe</t>
  </si>
  <si>
    <t>Maa Engineering Works</t>
  </si>
  <si>
    <t>Steering</t>
  </si>
  <si>
    <t>Steering Shaft</t>
  </si>
  <si>
    <t>Manufacturing</t>
  </si>
  <si>
    <t>Indore Industrial Supply</t>
  </si>
  <si>
    <t>Suspension</t>
  </si>
  <si>
    <t>A-arm</t>
  </si>
  <si>
    <t>Transportation</t>
  </si>
  <si>
    <t>Pithampur</t>
  </si>
  <si>
    <t>Local Vendor</t>
  </si>
  <si>
    <t>Sprocket</t>
  </si>
  <si>
    <t>Raw Material</t>
  </si>
  <si>
    <t>Brake Fluid</t>
  </si>
  <si>
    <t>Narmada Hydraulics</t>
  </si>
  <si>
    <t>Master Cylinder</t>
  </si>
  <si>
    <t>Velocity Components</t>
  </si>
  <si>
    <t>Shock Absorber</t>
  </si>
  <si>
    <t>Rollcage</t>
  </si>
  <si>
    <t>Cutting Disc</t>
  </si>
  <si>
    <t>Clutch Assembly</t>
  </si>
  <si>
    <t>Vindhya Engineering</t>
  </si>
  <si>
    <t>Deepak Hardware</t>
  </si>
  <si>
    <t>Rack Housing</t>
  </si>
  <si>
    <t>Maintenance</t>
  </si>
  <si>
    <t>Spring</t>
  </si>
  <si>
    <t>Universal Joint</t>
  </si>
  <si>
    <t>Apex Fasteners</t>
  </si>
  <si>
    <t>Welding Rod</t>
  </si>
  <si>
    <t>Mounting Plate</t>
  </si>
  <si>
    <t>Mahakal Traders</t>
  </si>
  <si>
    <t>AISI Pipe</t>
  </si>
  <si>
    <t>Sai Traders</t>
  </si>
  <si>
    <t>Safety Net</t>
  </si>
  <si>
    <t>Ball Joint</t>
  </si>
  <si>
    <t>Tie Rod</t>
  </si>
  <si>
    <t>Hub Assembly</t>
  </si>
  <si>
    <t>Brake Pad</t>
  </si>
  <si>
    <t>Bearing</t>
  </si>
  <si>
    <t>Colour Valley</t>
  </si>
  <si>
    <t>Chain</t>
  </si>
  <si>
    <t>Mp Bearings</t>
  </si>
  <si>
    <t>Gm Engineering</t>
  </si>
  <si>
    <t>Steelpoint Industries</t>
  </si>
  <si>
    <t>Turbotech Solutions</t>
  </si>
  <si>
    <t>Month</t>
  </si>
  <si>
    <t>FETCHING DATA FROM BILLS RECORD</t>
  </si>
  <si>
    <t>Component Name</t>
  </si>
  <si>
    <t>Vendor Name</t>
  </si>
  <si>
    <t>Unit cost</t>
  </si>
  <si>
    <t>Total Cost</t>
  </si>
  <si>
    <t>Payment status</t>
  </si>
  <si>
    <t>Value</t>
  </si>
  <si>
    <t>Row Labels</t>
  </si>
  <si>
    <t>Grand Total</t>
  </si>
  <si>
    <t>Sum of Total_Amount</t>
  </si>
  <si>
    <t>Year</t>
  </si>
  <si>
    <t>2024</t>
  </si>
  <si>
    <t>2025</t>
  </si>
  <si>
    <t>Sum of Quantity</t>
  </si>
  <si>
    <t>pending</t>
  </si>
  <si>
    <t>Subsystems</t>
  </si>
  <si>
    <t>Product ID</t>
  </si>
  <si>
    <t>Unit Cost</t>
  </si>
  <si>
    <t>Individual Data</t>
  </si>
  <si>
    <t>Total Amount Contribution</t>
  </si>
  <si>
    <t>Yearwise Data</t>
  </si>
  <si>
    <t>Pivot tables for previous pivot charts</t>
  </si>
  <si>
    <t>vendor data</t>
  </si>
  <si>
    <t>City wise Amount breakup</t>
  </si>
  <si>
    <t>KEY INSIGHTS</t>
  </si>
  <si>
    <t>1) PowerTrain has highest spend</t>
  </si>
  <si>
    <t>33% orders still pending</t>
  </si>
  <si>
    <t>2) Maa Engineering Works is the top vendor</t>
  </si>
  <si>
    <t>TEAM PROCUREMENT DASHBOARD</t>
  </si>
  <si>
    <t>DE1016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</si>
</sst>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39]#,##0.00"/>
  </numFmts>
  <fonts count="11" x14ac:knownFonts="1">
    <font>
      <sz val="11"/>
      <color theme="1"/>
      <name val="Calibri"/>
      <family val="2"/>
      <scheme val="minor"/>
    </font>
    <font>
      <sz val="11"/>
      <color theme="0"/>
      <name val="Calibri"/>
      <family val="2"/>
      <scheme val="minor"/>
    </font>
    <font>
      <sz val="12"/>
      <color theme="1"/>
      <name val="Calibri"/>
      <family val="2"/>
      <scheme val="minor"/>
    </font>
    <font>
      <b/>
      <sz val="16"/>
      <color theme="0"/>
      <name val="Calibri"/>
      <family val="2"/>
      <scheme val="minor"/>
    </font>
    <font>
      <b/>
      <sz val="12"/>
      <color theme="1"/>
      <name val="Calibri"/>
      <family val="2"/>
      <scheme val="minor"/>
    </font>
    <font>
      <sz val="18"/>
      <color theme="1"/>
      <name val="Calibri"/>
      <family val="2"/>
      <scheme val="minor"/>
    </font>
    <font>
      <b/>
      <sz val="18"/>
      <color theme="1"/>
      <name val="Calibri"/>
      <family val="2"/>
      <scheme val="minor"/>
    </font>
    <font>
      <sz val="14"/>
      <color theme="1"/>
      <name val="Calibri"/>
      <family val="2"/>
      <scheme val="minor"/>
    </font>
    <font>
      <sz val="18"/>
      <color theme="0"/>
      <name val="Calibri"/>
      <family val="2"/>
      <scheme val="minor"/>
    </font>
    <font>
      <sz val="8"/>
      <color rgb="FF000000"/>
      <name val="Segoe UI"/>
      <family val="2"/>
    </font>
    <font>
      <b/>
      <sz val="14"/>
      <color theme="1"/>
      <name val="Calibri"/>
      <family val="2"/>
      <scheme val="minor"/>
    </font>
  </fonts>
  <fills count="10">
    <fill>
      <patternFill patternType="none"/>
    </fill>
    <fill>
      <patternFill patternType="gray125"/>
    </fill>
    <fill>
      <patternFill patternType="solid">
        <fgColor theme="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40">
    <xf numFmtId="0" fontId="0" fillId="0" borderId="0" xfId="0"/>
    <xf numFmtId="0" fontId="0" fillId="0" borderId="0" xfId="0" applyAlignment="1">
      <alignment horizontal="center"/>
    </xf>
    <xf numFmtId="14" fontId="0" fillId="0" borderId="0" xfId="0" applyNumberFormat="1" applyAlignment="1">
      <alignment horizontal="center"/>
    </xf>
    <xf numFmtId="0" fontId="1" fillId="2" borderId="0" xfId="0" applyFont="1" applyFill="1" applyAlignment="1">
      <alignment horizontal="center"/>
    </xf>
    <xf numFmtId="164" fontId="1" fillId="2" borderId="0" xfId="0" applyNumberFormat="1" applyFont="1" applyFill="1" applyAlignment="1">
      <alignment horizontal="center"/>
    </xf>
    <xf numFmtId="164" fontId="0" fillId="0" borderId="0" xfId="0" applyNumberFormat="1" applyAlignment="1">
      <alignment horizontal="center"/>
    </xf>
    <xf numFmtId="0" fontId="2" fillId="0" borderId="0" xfId="0" applyFont="1"/>
    <xf numFmtId="0" fontId="4" fillId="3" borderId="0" xfId="0" applyFont="1" applyFill="1" applyAlignment="1">
      <alignment horizontal="center"/>
    </xf>
    <xf numFmtId="0" fontId="2" fillId="4" borderId="1" xfId="0" applyFont="1" applyFill="1" applyBorder="1" applyAlignment="1">
      <alignment horizontal="center"/>
    </xf>
    <xf numFmtId="0" fontId="0" fillId="4" borderId="1" xfId="0" applyFill="1" applyBorder="1" applyAlignment="1">
      <alignment horizontal="center"/>
    </xf>
    <xf numFmtId="14" fontId="0" fillId="4" borderId="1" xfId="0" applyNumberFormat="1" applyFill="1" applyBorder="1" applyAlignment="1">
      <alignment horizontal="center"/>
    </xf>
    <xf numFmtId="164" fontId="0" fillId="0" borderId="0" xfId="0" applyNumberFormat="1"/>
    <xf numFmtId="0" fontId="0" fillId="0" borderId="0" xfId="0" pivotButton="1" applyAlignment="1">
      <alignment horizontal="center"/>
    </xf>
    <xf numFmtId="0" fontId="0" fillId="0" borderId="1" xfId="0" pivotButton="1" applyBorder="1" applyAlignment="1">
      <alignment horizontal="center"/>
    </xf>
    <xf numFmtId="0" fontId="0" fillId="0" borderId="1" xfId="0" applyBorder="1" applyAlignment="1">
      <alignment horizontal="center"/>
    </xf>
    <xf numFmtId="164" fontId="0" fillId="0" borderId="1" xfId="0" applyNumberFormat="1" applyBorder="1" applyAlignment="1">
      <alignment horizontal="center"/>
    </xf>
    <xf numFmtId="0" fontId="0" fillId="0" borderId="2" xfId="0" pivotButton="1" applyBorder="1" applyAlignment="1">
      <alignment horizontal="center"/>
    </xf>
    <xf numFmtId="0" fontId="0" fillId="0" borderId="2" xfId="0" applyBorder="1" applyAlignment="1">
      <alignment horizontal="center"/>
    </xf>
    <xf numFmtId="0" fontId="2" fillId="8" borderId="0" xfId="0" applyFont="1" applyFill="1"/>
    <xf numFmtId="0" fontId="0" fillId="8" borderId="0" xfId="0" applyFill="1"/>
    <xf numFmtId="0" fontId="0" fillId="4" borderId="3" xfId="0" applyFill="1" applyBorder="1"/>
    <xf numFmtId="0" fontId="0" fillId="4" borderId="4" xfId="0" applyFill="1" applyBorder="1"/>
    <xf numFmtId="0" fontId="0" fillId="0" borderId="5" xfId="0" applyBorder="1" applyAlignment="1">
      <alignment horizontal="left"/>
    </xf>
    <xf numFmtId="164" fontId="0" fillId="0" borderId="6" xfId="0" applyNumberFormat="1" applyBorder="1"/>
    <xf numFmtId="0" fontId="0" fillId="0" borderId="5" xfId="0" applyBorder="1" applyAlignment="1">
      <alignment horizontal="left" indent="1"/>
    </xf>
    <xf numFmtId="0" fontId="0" fillId="4" borderId="7" xfId="0" applyFill="1" applyBorder="1" applyAlignment="1">
      <alignment horizontal="left"/>
    </xf>
    <xf numFmtId="164" fontId="0" fillId="4" borderId="8" xfId="0" applyNumberFormat="1" applyFill="1" applyBorder="1"/>
    <xf numFmtId="164" fontId="0" fillId="0" borderId="2" xfId="0" applyNumberFormat="1" applyBorder="1" applyAlignment="1">
      <alignment horizontal="center"/>
    </xf>
    <xf numFmtId="164" fontId="0" fillId="0" borderId="9" xfId="0" applyNumberFormat="1" applyBorder="1" applyAlignment="1">
      <alignment horizontal="center"/>
    </xf>
    <xf numFmtId="0" fontId="0" fillId="0" borderId="9" xfId="0" applyBorder="1" applyAlignment="1">
      <alignment horizontal="center"/>
    </xf>
    <xf numFmtId="0" fontId="10" fillId="0" borderId="0" xfId="0" applyFont="1"/>
    <xf numFmtId="0" fontId="3" fillId="2" borderId="0" xfId="0" applyFont="1" applyFill="1"/>
    <xf numFmtId="0" fontId="5" fillId="7" borderId="1" xfId="0" applyFont="1" applyFill="1" applyBorder="1" applyAlignment="1">
      <alignment horizontal="center"/>
    </xf>
    <xf numFmtId="0" fontId="0" fillId="7" borderId="1" xfId="0" applyFill="1" applyBorder="1" applyAlignment="1">
      <alignment horizontal="center"/>
    </xf>
    <xf numFmtId="0" fontId="6" fillId="7" borderId="1" xfId="0" applyFont="1" applyFill="1" applyBorder="1" applyAlignment="1">
      <alignment horizontal="center"/>
    </xf>
    <xf numFmtId="0" fontId="8" fillId="5" borderId="0" xfId="0" applyFont="1" applyFill="1" applyAlignment="1">
      <alignment horizontal="center"/>
    </xf>
    <xf numFmtId="0" fontId="0" fillId="9" borderId="0" xfId="0" applyFill="1" applyAlignment="1">
      <alignment horizontal="center"/>
    </xf>
    <xf numFmtId="0" fontId="0" fillId="5" borderId="0" xfId="0" applyFill="1" applyAlignment="1">
      <alignment horizontal="center"/>
    </xf>
    <xf numFmtId="0" fontId="7" fillId="6" borderId="1" xfId="0" applyFont="1" applyFill="1" applyBorder="1" applyAlignment="1">
      <alignment horizontal="center"/>
    </xf>
    <xf numFmtId="0" fontId="0" fillId="6" borderId="1" xfId="0" applyFill="1" applyBorder="1" applyAlignment="1">
      <alignment horizontal="center"/>
    </xf>
  </cellXfs>
  <cellStyles count="1">
    <cellStyle name="Normal" xfId="0" builtinId="0"/>
  </cellStyles>
  <dxfs count="109">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7"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439]#,##0.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439]#,##0.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439]#,##0.00"/>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bottom" textRotation="0" wrapText="0" indent="0" justifyLastLine="0" shrinkToFit="0" readingOrder="0"/>
    </dxf>
    <dxf>
      <fill>
        <patternFill>
          <bgColor theme="3" tint="0.59996337778862885"/>
        </patternFill>
      </fill>
    </dxf>
    <dxf>
      <fill>
        <patternFill>
          <bgColor theme="9" tint="0.59996337778862885"/>
        </patternFill>
      </fill>
    </dxf>
  </dxfs>
  <tableStyles count="4" defaultTableStyle="TableStyleMedium2" defaultPivotStyle="PivotStyleLight16">
    <tableStyle name="Slicer Style 1" pivot="0" table="0" count="2" xr9:uid="{DFA3879B-8A59-4768-AD09-3812390735AD}">
      <tableStyleElement type="headerRow" dxfId="108"/>
    </tableStyle>
    <tableStyle name="Slicer Style 2" pivot="0" table="0" count="1" xr9:uid="{11838F25-3BAB-4841-8678-B35C3681FA5F}"/>
    <tableStyle name="Slicer Style 3" pivot="0" table="0" count="1" xr9:uid="{338901B0-03A8-4AA5-9C20-AD03CA96FDD0}"/>
    <tableStyle name="Slicer Style 4" pivot="0" table="0" count="1" xr9:uid="{78522380-3039-47A7-B03F-71C186968FAD}">
      <tableStyleElement type="wholeTable" dxfId="107"/>
    </tableStyle>
  </tableStyles>
  <colors>
    <mruColors>
      <color rgb="FFFFCCFF"/>
    </mruColors>
  </colors>
  <extLst>
    <ext xmlns:x14="http://schemas.microsoft.com/office/spreadsheetml/2009/9/main" uri="{46F421CA-312F-682f-3DD2-61675219B42D}">
      <x14:dxfs count="3">
        <dxf>
          <fill>
            <patternFill>
              <fgColor theme="7" tint="0.79998168889431442"/>
            </patternFill>
          </fill>
          <border>
            <left style="thin">
              <color auto="1"/>
            </left>
            <right style="thin">
              <color auto="1"/>
            </right>
            <top style="thin">
              <color auto="1"/>
            </top>
            <bottom style="thin">
              <color auto="1"/>
            </bottom>
          </border>
        </dxf>
        <dxf>
          <fill>
            <patternFill>
              <bgColor theme="7" tint="0.79998168889431442"/>
            </patternFill>
          </fill>
        </dxf>
        <dxf>
          <fill>
            <patternFill>
              <bgColor theme="7"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2"/>
          </x14:slicerStyleElements>
        </x14:slicerStyle>
        <x14:slicerStyle name="Slicer Style 2">
          <x14:slicerStyleElements>
            <x14:slicerStyleElement type="selectedItemWithData" dxfId="1"/>
          </x14:slicerStyleElements>
        </x14:slicerStyle>
        <x14:slicerStyle name="Slicer Style 3">
          <x14:slicerStyleElements>
            <x14:slicerStyleElement type="hoveredSelectedItemWithNoData" dxfId="0"/>
          </x14:slicerStyleElements>
        </x14:slicerStyle>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[procuremet project.xlsm]data_fetch1!PivotTable5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70366554647956"/>
          <c:y val="7.8016169154228876E-2"/>
          <c:w val="0.65801076851374884"/>
          <c:h val="0.85046641791044775"/>
        </c:manualLayout>
      </c:layout>
      <c:barChart>
        <c:barDir val="bar"/>
        <c:grouping val="clustered"/>
        <c:varyColors val="0"/>
        <c:ser>
          <c:idx val="0"/>
          <c:order val="0"/>
          <c:tx>
            <c:strRef>
              <c:f>data_fetch1!$C$19</c:f>
              <c:strCache>
                <c:ptCount val="1"/>
                <c:pt idx="0">
                  <c:v>Total</c:v>
                </c:pt>
              </c:strCache>
            </c:strRef>
          </c:tx>
          <c:spPr>
            <a:solidFill>
              <a:schemeClr val="accent4">
                <a:lumMod val="60000"/>
                <a:lumOff val="40000"/>
              </a:schemeClr>
            </a:solidFill>
            <a:ln>
              <a:noFill/>
            </a:ln>
            <a:effectLst/>
          </c:spPr>
          <c:invertIfNegative val="0"/>
          <c:cat>
            <c:strRef>
              <c:f>data_fetch1!$B$20:$B$25</c:f>
              <c:strCache>
                <c:ptCount val="5"/>
                <c:pt idx="0">
                  <c:v>Brakes</c:v>
                </c:pt>
                <c:pt idx="1">
                  <c:v>Powertrain</c:v>
                </c:pt>
                <c:pt idx="2">
                  <c:v>Rollcage</c:v>
                </c:pt>
                <c:pt idx="3">
                  <c:v>Steering</c:v>
                </c:pt>
                <c:pt idx="4">
                  <c:v>Suspension</c:v>
                </c:pt>
              </c:strCache>
            </c:strRef>
          </c:cat>
          <c:val>
            <c:numRef>
              <c:f>data_fetch1!$C$20:$C$25</c:f>
              <c:numCache>
                <c:formatCode>[$₹-439]#,##0.00</c:formatCode>
                <c:ptCount val="5"/>
                <c:pt idx="0">
                  <c:v>1981484</c:v>
                </c:pt>
                <c:pt idx="1">
                  <c:v>2001412</c:v>
                </c:pt>
                <c:pt idx="2">
                  <c:v>1869338</c:v>
                </c:pt>
                <c:pt idx="3">
                  <c:v>2348471</c:v>
                </c:pt>
                <c:pt idx="4">
                  <c:v>2303967</c:v>
                </c:pt>
              </c:numCache>
            </c:numRef>
          </c:val>
          <c:extLst>
            <c:ext xmlns:c16="http://schemas.microsoft.com/office/drawing/2014/chart" uri="{C3380CC4-5D6E-409C-BE32-E72D297353CC}">
              <c16:uniqueId val="{00000000-425B-4084-8335-97A6A7906496}"/>
            </c:ext>
          </c:extLst>
        </c:ser>
        <c:dLbls>
          <c:showLegendKey val="0"/>
          <c:showVal val="0"/>
          <c:showCatName val="0"/>
          <c:showSerName val="0"/>
          <c:showPercent val="0"/>
          <c:showBubbleSize val="0"/>
        </c:dLbls>
        <c:gapWidth val="182"/>
        <c:axId val="1113539952"/>
        <c:axId val="1113541872"/>
      </c:barChart>
      <c:catAx>
        <c:axId val="111353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3541872"/>
        <c:crosses val="autoZero"/>
        <c:auto val="1"/>
        <c:lblAlgn val="ctr"/>
        <c:lblOffset val="100"/>
        <c:noMultiLvlLbl val="0"/>
      </c:catAx>
      <c:valAx>
        <c:axId val="1113541872"/>
        <c:scaling>
          <c:orientation val="minMax"/>
        </c:scaling>
        <c:delete val="1"/>
        <c:axPos val="b"/>
        <c:majorGridlines>
          <c:spPr>
            <a:ln w="9525" cap="flat" cmpd="sng" algn="ctr">
              <a:solidFill>
                <a:srgbClr val="C00000"/>
              </a:solidFill>
              <a:round/>
            </a:ln>
            <a:effectLst/>
          </c:spPr>
        </c:majorGridlines>
        <c:numFmt formatCode="[$₹-439]#,##0.00" sourceLinked="1"/>
        <c:majorTickMark val="none"/>
        <c:minorTickMark val="none"/>
        <c:tickLblPos val="nextTo"/>
        <c:crossAx val="111353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[procuremet project.xlsm]pivot data1!PivotTable2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737357830271215"/>
          <c:y val="8.3333333333333329E-2"/>
          <c:w val="0.62268897637795273"/>
          <c:h val="0.8416746864975212"/>
        </c:manualLayout>
      </c:layout>
      <c:barChart>
        <c:barDir val="bar"/>
        <c:grouping val="clustered"/>
        <c:varyColors val="0"/>
        <c:ser>
          <c:idx val="0"/>
          <c:order val="0"/>
          <c:tx>
            <c:strRef>
              <c:f>'pivot data1'!$C$5</c:f>
              <c:strCache>
                <c:ptCount val="1"/>
                <c:pt idx="0">
                  <c:v>Total</c:v>
                </c:pt>
              </c:strCache>
            </c:strRef>
          </c:tx>
          <c:spPr>
            <a:solidFill>
              <a:schemeClr val="accent1"/>
            </a:solidFill>
            <a:ln>
              <a:noFill/>
            </a:ln>
            <a:effectLst/>
          </c:spPr>
          <c:invertIfNegative val="0"/>
          <c:cat>
            <c:strRef>
              <c:f>'pivot data1'!$B$6:$B$26</c:f>
              <c:strCache>
                <c:ptCount val="20"/>
                <c:pt idx="0">
                  <c:v>Maa Engineering Works</c:v>
                </c:pt>
                <c:pt idx="1">
                  <c:v>Colour Valley</c:v>
                </c:pt>
                <c:pt idx="2">
                  <c:v>Indore Industrial Supply</c:v>
                </c:pt>
                <c:pt idx="3">
                  <c:v>Sharma Steels</c:v>
                </c:pt>
                <c:pt idx="4">
                  <c:v>Gm Engineering</c:v>
                </c:pt>
                <c:pt idx="5">
                  <c:v>Turbotech Solutions</c:v>
                </c:pt>
                <c:pt idx="6">
                  <c:v>Vindhya Engineering</c:v>
                </c:pt>
                <c:pt idx="7">
                  <c:v>Steelpoint Industries</c:v>
                </c:pt>
                <c:pt idx="8">
                  <c:v>Mp Bearings</c:v>
                </c:pt>
                <c:pt idx="9">
                  <c:v>Narmada Hydraulics</c:v>
                </c:pt>
                <c:pt idx="10">
                  <c:v>Apex Fasteners</c:v>
                </c:pt>
                <c:pt idx="11">
                  <c:v>Phoenix Welding</c:v>
                </c:pt>
                <c:pt idx="12">
                  <c:v>Rathore Motors</c:v>
                </c:pt>
                <c:pt idx="13">
                  <c:v>Precision Tools</c:v>
                </c:pt>
                <c:pt idx="14">
                  <c:v>Mahakal Traders</c:v>
                </c:pt>
                <c:pt idx="15">
                  <c:v>Deepak Hardware</c:v>
                </c:pt>
                <c:pt idx="16">
                  <c:v>Local Vendor</c:v>
                </c:pt>
                <c:pt idx="17">
                  <c:v>Rajput Fabrication</c:v>
                </c:pt>
                <c:pt idx="18">
                  <c:v>Velocity Components</c:v>
                </c:pt>
                <c:pt idx="19">
                  <c:v>Sai Traders</c:v>
                </c:pt>
              </c:strCache>
            </c:strRef>
          </c:cat>
          <c:val>
            <c:numRef>
              <c:f>'pivot data1'!$C$6:$C$26</c:f>
              <c:numCache>
                <c:formatCode>[$₹-439]#,##0.00</c:formatCode>
                <c:ptCount val="20"/>
                <c:pt idx="0">
                  <c:v>783735</c:v>
                </c:pt>
                <c:pt idx="1">
                  <c:v>782798</c:v>
                </c:pt>
                <c:pt idx="2">
                  <c:v>683240</c:v>
                </c:pt>
                <c:pt idx="3">
                  <c:v>645746</c:v>
                </c:pt>
                <c:pt idx="4">
                  <c:v>631784</c:v>
                </c:pt>
                <c:pt idx="5">
                  <c:v>594095</c:v>
                </c:pt>
                <c:pt idx="6">
                  <c:v>569207</c:v>
                </c:pt>
                <c:pt idx="7">
                  <c:v>552437</c:v>
                </c:pt>
                <c:pt idx="8">
                  <c:v>528008</c:v>
                </c:pt>
                <c:pt idx="9">
                  <c:v>527804</c:v>
                </c:pt>
                <c:pt idx="10">
                  <c:v>494382</c:v>
                </c:pt>
                <c:pt idx="11">
                  <c:v>470771</c:v>
                </c:pt>
                <c:pt idx="12">
                  <c:v>459227</c:v>
                </c:pt>
                <c:pt idx="13">
                  <c:v>429941</c:v>
                </c:pt>
                <c:pt idx="14">
                  <c:v>429608</c:v>
                </c:pt>
                <c:pt idx="15">
                  <c:v>427043</c:v>
                </c:pt>
                <c:pt idx="16">
                  <c:v>406262</c:v>
                </c:pt>
                <c:pt idx="17">
                  <c:v>390418</c:v>
                </c:pt>
                <c:pt idx="18">
                  <c:v>381666</c:v>
                </c:pt>
                <c:pt idx="19">
                  <c:v>316500</c:v>
                </c:pt>
              </c:numCache>
            </c:numRef>
          </c:val>
          <c:extLst>
            <c:ext xmlns:c16="http://schemas.microsoft.com/office/drawing/2014/chart" uri="{C3380CC4-5D6E-409C-BE32-E72D297353CC}">
              <c16:uniqueId val="{00000000-E971-4ADE-9DAA-1A96ECEDDAA4}"/>
            </c:ext>
          </c:extLst>
        </c:ser>
        <c:dLbls>
          <c:showLegendKey val="0"/>
          <c:showVal val="0"/>
          <c:showCatName val="0"/>
          <c:showSerName val="0"/>
          <c:showPercent val="0"/>
          <c:showBubbleSize val="0"/>
        </c:dLbls>
        <c:gapWidth val="182"/>
        <c:axId val="445010832"/>
        <c:axId val="445012752"/>
      </c:barChart>
      <c:catAx>
        <c:axId val="445010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012752"/>
        <c:crosses val="autoZero"/>
        <c:auto val="1"/>
        <c:lblAlgn val="ctr"/>
        <c:lblOffset val="100"/>
        <c:noMultiLvlLbl val="0"/>
      </c:catAx>
      <c:valAx>
        <c:axId val="445012752"/>
        <c:scaling>
          <c:orientation val="minMax"/>
        </c:scaling>
        <c:delete val="1"/>
        <c:axPos val="b"/>
        <c:majorGridlines>
          <c:spPr>
            <a:ln w="9525" cap="flat" cmpd="sng" algn="ctr">
              <a:solidFill>
                <a:schemeClr val="tx1">
                  <a:lumMod val="15000"/>
                  <a:lumOff val="85000"/>
                </a:schemeClr>
              </a:solidFill>
              <a:round/>
            </a:ln>
            <a:effectLst/>
          </c:spPr>
        </c:majorGridlines>
        <c:numFmt formatCode="[$₹-439]#,##0.00" sourceLinked="1"/>
        <c:majorTickMark val="none"/>
        <c:minorTickMark val="none"/>
        <c:tickLblPos val="nextTo"/>
        <c:crossAx val="445010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[procuremet project.xlsm]pivot data1!PivotTable4</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data1'!$G$5</c:f>
              <c:strCache>
                <c:ptCount val="1"/>
                <c:pt idx="0">
                  <c:v>Total</c:v>
                </c:pt>
              </c:strCache>
            </c:strRef>
          </c:tx>
          <c:spPr>
            <a:ln w="28575" cap="rnd">
              <a:solidFill>
                <a:schemeClr val="accent1"/>
              </a:solidFill>
              <a:round/>
            </a:ln>
            <a:effectLst/>
          </c:spPr>
          <c:marker>
            <c:symbol val="none"/>
          </c:marker>
          <c:cat>
            <c:multiLvlStrRef>
              <c:f>'pivot data1'!$F$6:$F$21</c:f>
              <c:multiLvlStrCache>
                <c:ptCount val="10"/>
                <c:lvl>
                  <c:pt idx="0">
                    <c:v>2024</c:v>
                  </c:pt>
                  <c:pt idx="1">
                    <c:v>2025</c:v>
                  </c:pt>
                  <c:pt idx="2">
                    <c:v>2024</c:v>
                  </c:pt>
                  <c:pt idx="3">
                    <c:v>2025</c:v>
                  </c:pt>
                  <c:pt idx="4">
                    <c:v>2024</c:v>
                  </c:pt>
                  <c:pt idx="5">
                    <c:v>2025</c:v>
                  </c:pt>
                  <c:pt idx="6">
                    <c:v>2024</c:v>
                  </c:pt>
                  <c:pt idx="7">
                    <c:v>2025</c:v>
                  </c:pt>
                  <c:pt idx="8">
                    <c:v>2024</c:v>
                  </c:pt>
                  <c:pt idx="9">
                    <c:v>2025</c:v>
                  </c:pt>
                </c:lvl>
                <c:lvl>
                  <c:pt idx="0">
                    <c:v>Bhopal</c:v>
                  </c:pt>
                  <c:pt idx="2">
                    <c:v>Dewas</c:v>
                  </c:pt>
                  <c:pt idx="4">
                    <c:v>Indore</c:v>
                  </c:pt>
                  <c:pt idx="6">
                    <c:v>Pithampur</c:v>
                  </c:pt>
                  <c:pt idx="8">
                    <c:v>Ujjain</c:v>
                  </c:pt>
                </c:lvl>
              </c:multiLvlStrCache>
            </c:multiLvlStrRef>
          </c:cat>
          <c:val>
            <c:numRef>
              <c:f>'pivot data1'!$G$6:$G$21</c:f>
              <c:numCache>
                <c:formatCode>[$₹-439]#,##0.00</c:formatCode>
                <c:ptCount val="10"/>
                <c:pt idx="0">
                  <c:v>1560668</c:v>
                </c:pt>
                <c:pt idx="1">
                  <c:v>663239</c:v>
                </c:pt>
                <c:pt idx="2">
                  <c:v>1058410</c:v>
                </c:pt>
                <c:pt idx="3">
                  <c:v>469018</c:v>
                </c:pt>
                <c:pt idx="4">
                  <c:v>1403652</c:v>
                </c:pt>
                <c:pt idx="5">
                  <c:v>737379</c:v>
                </c:pt>
                <c:pt idx="6">
                  <c:v>1690074</c:v>
                </c:pt>
                <c:pt idx="7">
                  <c:v>713058</c:v>
                </c:pt>
                <c:pt idx="8">
                  <c:v>1444136</c:v>
                </c:pt>
                <c:pt idx="9">
                  <c:v>765038</c:v>
                </c:pt>
              </c:numCache>
            </c:numRef>
          </c:val>
          <c:smooth val="0"/>
          <c:extLst>
            <c:ext xmlns:c16="http://schemas.microsoft.com/office/drawing/2014/chart" uri="{C3380CC4-5D6E-409C-BE32-E72D297353CC}">
              <c16:uniqueId val="{00000000-9E47-453E-BC3D-9DFE9A4A84DC}"/>
            </c:ext>
          </c:extLst>
        </c:ser>
        <c:dLbls>
          <c:showLegendKey val="0"/>
          <c:showVal val="0"/>
          <c:showCatName val="0"/>
          <c:showSerName val="0"/>
          <c:showPercent val="0"/>
          <c:showBubbleSize val="0"/>
        </c:dLbls>
        <c:smooth val="0"/>
        <c:axId val="362258480"/>
        <c:axId val="362270960"/>
      </c:lineChart>
      <c:catAx>
        <c:axId val="36225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270960"/>
        <c:crosses val="autoZero"/>
        <c:auto val="1"/>
        <c:lblAlgn val="ctr"/>
        <c:lblOffset val="100"/>
        <c:noMultiLvlLbl val="0"/>
      </c:catAx>
      <c:valAx>
        <c:axId val="362270960"/>
        <c:scaling>
          <c:orientation val="minMax"/>
        </c:scaling>
        <c:delete val="0"/>
        <c:axPos val="l"/>
        <c:numFmt formatCode="[$₹-43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258480"/>
        <c:crosses val="autoZero"/>
        <c:crossBetween val="between"/>
      </c:valAx>
      <c:spPr>
        <a:solidFill>
          <a:schemeClr val="accent1">
            <a:lumMod val="20000"/>
            <a:lumOff val="80000"/>
          </a:schemeClr>
        </a:solid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[procuremet project.xlsm]pivot data1!PivotTable3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03404636920385"/>
              <c:y val="0.1219127296587926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2.6590988626421699E-2"/>
              <c:y val="-0.1999981773111694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227836832895888"/>
              <c:y val="8.499781277340332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 data1'!$K$5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AF6-4D99-BF3F-468ED9FACCB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AF6-4D99-BF3F-468ED9FACCB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AF6-4D99-BF3F-468ED9FACCB0}"/>
              </c:ext>
            </c:extLst>
          </c:dPt>
          <c:dLbls>
            <c:dLbl>
              <c:idx val="0"/>
              <c:layout>
                <c:manualLayout>
                  <c:x val="-0.103404636920385"/>
                  <c:y val="0.1219127296587926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AF6-4D99-BF3F-468ED9FACCB0}"/>
                </c:ext>
              </c:extLst>
            </c:dLbl>
            <c:dLbl>
              <c:idx val="1"/>
              <c:layout>
                <c:manualLayout>
                  <c:x val="-2.6590988626421699E-2"/>
                  <c:y val="-0.19999817731116945"/>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AF6-4D99-BF3F-468ED9FACCB0}"/>
                </c:ext>
              </c:extLst>
            </c:dLbl>
            <c:dLbl>
              <c:idx val="2"/>
              <c:layout>
                <c:manualLayout>
                  <c:x val="0.1227836832895888"/>
                  <c:y val="8.49978127734033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AF6-4D99-BF3F-468ED9FACCB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data1'!$J$6:$J$9</c:f>
              <c:strCache>
                <c:ptCount val="3"/>
                <c:pt idx="0">
                  <c:v>Paid</c:v>
                </c:pt>
                <c:pt idx="1">
                  <c:v>Partial</c:v>
                </c:pt>
                <c:pt idx="2">
                  <c:v>Pending</c:v>
                </c:pt>
              </c:strCache>
            </c:strRef>
          </c:cat>
          <c:val>
            <c:numRef>
              <c:f>'pivot data1'!$K$6:$K$9</c:f>
              <c:numCache>
                <c:formatCode>General</c:formatCode>
                <c:ptCount val="3"/>
                <c:pt idx="0">
                  <c:v>1336</c:v>
                </c:pt>
                <c:pt idx="1">
                  <c:v>1772</c:v>
                </c:pt>
                <c:pt idx="2">
                  <c:v>1553</c:v>
                </c:pt>
              </c:numCache>
            </c:numRef>
          </c:val>
          <c:extLst>
            <c:ext xmlns:c16="http://schemas.microsoft.com/office/drawing/2014/chart" uri="{C3380CC4-5D6E-409C-BE32-E72D297353CC}">
              <c16:uniqueId val="{00000006-CAF6-4D99-BF3F-468ED9FACCB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D$4" lockText="1" noThreeD="1"/>
</file>

<file path=xl/ctrlProps/ctrlProp2.xml><?xml version="1.0" encoding="utf-8"?>
<formControlPr xmlns="http://schemas.microsoft.com/office/spreadsheetml/2009/9/main" objectType="CheckBox" fmlaLink="$H$4" lockText="1" noThreeD="1"/>
</file>

<file path=xl/ctrlProps/ctrlProp3.xml><?xml version="1.0" encoding="utf-8"?>
<formControlPr xmlns="http://schemas.microsoft.com/office/spreadsheetml/2009/9/main" objectType="CheckBox" fmlaLink="$M$5" lockText="1" noThreeD="1"/>
</file>

<file path=xl/drawings/_rels/drawing1.xml.rels><?xml version="1.0" encoding="UTF-8" standalone="yes"?>
<Relationships xmlns="http://schemas.openxmlformats.org/package/2006/relationships"><Relationship Id="rId26" Type="http://schemas.openxmlformats.org/officeDocument/2006/relationships/customXml" Target="../ink/ink13.xml"/><Relationship Id="rId21" Type="http://schemas.openxmlformats.org/officeDocument/2006/relationships/image" Target="../media/image10.png"/><Relationship Id="rId42" Type="http://schemas.openxmlformats.org/officeDocument/2006/relationships/customXml" Target="../ink/ink21.xml"/><Relationship Id="rId47" Type="http://schemas.openxmlformats.org/officeDocument/2006/relationships/image" Target="../media/image23.png"/><Relationship Id="rId63" Type="http://schemas.openxmlformats.org/officeDocument/2006/relationships/image" Target="../media/image31.png"/><Relationship Id="rId68" Type="http://schemas.openxmlformats.org/officeDocument/2006/relationships/customXml" Target="../ink/ink34.xml"/><Relationship Id="rId84" Type="http://schemas.openxmlformats.org/officeDocument/2006/relationships/customXml" Target="../ink/ink42.xml"/><Relationship Id="rId89" Type="http://schemas.openxmlformats.org/officeDocument/2006/relationships/image" Target="../media/image44.png"/><Relationship Id="rId16" Type="http://schemas.openxmlformats.org/officeDocument/2006/relationships/customXml" Target="../ink/ink8.xml"/><Relationship Id="rId11" Type="http://schemas.openxmlformats.org/officeDocument/2006/relationships/image" Target="../media/image5.png"/><Relationship Id="rId32" Type="http://schemas.openxmlformats.org/officeDocument/2006/relationships/customXml" Target="../ink/ink16.xml"/><Relationship Id="rId37" Type="http://schemas.openxmlformats.org/officeDocument/2006/relationships/image" Target="../media/image18.png"/><Relationship Id="rId53" Type="http://schemas.openxmlformats.org/officeDocument/2006/relationships/image" Target="../media/image26.png"/><Relationship Id="rId58" Type="http://schemas.openxmlformats.org/officeDocument/2006/relationships/customXml" Target="../ink/ink29.xml"/><Relationship Id="rId74" Type="http://schemas.openxmlformats.org/officeDocument/2006/relationships/customXml" Target="../ink/ink37.xml"/><Relationship Id="rId79" Type="http://schemas.openxmlformats.org/officeDocument/2006/relationships/image" Target="../media/image39.png"/><Relationship Id="rId5" Type="http://schemas.openxmlformats.org/officeDocument/2006/relationships/image" Target="../media/image2.png"/><Relationship Id="rId90" Type="http://schemas.openxmlformats.org/officeDocument/2006/relationships/customXml" Target="../ink/ink45.xml"/><Relationship Id="rId95" Type="http://schemas.openxmlformats.org/officeDocument/2006/relationships/image" Target="../media/image47.png"/><Relationship Id="rId22" Type="http://schemas.openxmlformats.org/officeDocument/2006/relationships/customXml" Target="../ink/ink11.xml"/><Relationship Id="rId27" Type="http://schemas.openxmlformats.org/officeDocument/2006/relationships/image" Target="../media/image13.png"/><Relationship Id="rId43" Type="http://schemas.openxmlformats.org/officeDocument/2006/relationships/image" Target="../media/image21.png"/><Relationship Id="rId48" Type="http://schemas.openxmlformats.org/officeDocument/2006/relationships/customXml" Target="../ink/ink24.xml"/><Relationship Id="rId64" Type="http://schemas.openxmlformats.org/officeDocument/2006/relationships/customXml" Target="../ink/ink32.xml"/><Relationship Id="rId69" Type="http://schemas.openxmlformats.org/officeDocument/2006/relationships/image" Target="../media/image34.png"/><Relationship Id="rId8" Type="http://schemas.openxmlformats.org/officeDocument/2006/relationships/customXml" Target="../ink/ink4.xml"/><Relationship Id="rId51" Type="http://schemas.openxmlformats.org/officeDocument/2006/relationships/image" Target="../media/image25.png"/><Relationship Id="rId72" Type="http://schemas.openxmlformats.org/officeDocument/2006/relationships/customXml" Target="../ink/ink36.xml"/><Relationship Id="rId80" Type="http://schemas.openxmlformats.org/officeDocument/2006/relationships/customXml" Target="../ink/ink40.xml"/><Relationship Id="rId85" Type="http://schemas.openxmlformats.org/officeDocument/2006/relationships/image" Target="../media/image42.png"/><Relationship Id="rId93" Type="http://schemas.openxmlformats.org/officeDocument/2006/relationships/image" Target="../media/image46.png"/><Relationship Id="rId3" Type="http://schemas.openxmlformats.org/officeDocument/2006/relationships/image" Target="../media/image1.png"/><Relationship Id="rId12" Type="http://schemas.openxmlformats.org/officeDocument/2006/relationships/customXml" Target="../ink/ink6.xml"/><Relationship Id="rId17" Type="http://schemas.openxmlformats.org/officeDocument/2006/relationships/image" Target="../media/image8.png"/><Relationship Id="rId25" Type="http://schemas.openxmlformats.org/officeDocument/2006/relationships/image" Target="../media/image12.png"/><Relationship Id="rId33" Type="http://schemas.openxmlformats.org/officeDocument/2006/relationships/image" Target="../media/image16.png"/><Relationship Id="rId38" Type="http://schemas.openxmlformats.org/officeDocument/2006/relationships/customXml" Target="../ink/ink19.xml"/><Relationship Id="rId46" Type="http://schemas.openxmlformats.org/officeDocument/2006/relationships/customXml" Target="../ink/ink23.xml"/><Relationship Id="rId59" Type="http://schemas.openxmlformats.org/officeDocument/2006/relationships/image" Target="../media/image29.png"/><Relationship Id="rId67" Type="http://schemas.openxmlformats.org/officeDocument/2006/relationships/image" Target="../media/image33.png"/><Relationship Id="rId20" Type="http://schemas.openxmlformats.org/officeDocument/2006/relationships/customXml" Target="../ink/ink10.xml"/><Relationship Id="rId41" Type="http://schemas.openxmlformats.org/officeDocument/2006/relationships/image" Target="../media/image20.png"/><Relationship Id="rId54" Type="http://schemas.openxmlformats.org/officeDocument/2006/relationships/customXml" Target="../ink/ink27.xml"/><Relationship Id="rId62" Type="http://schemas.openxmlformats.org/officeDocument/2006/relationships/customXml" Target="../ink/ink31.xml"/><Relationship Id="rId70" Type="http://schemas.openxmlformats.org/officeDocument/2006/relationships/customXml" Target="../ink/ink35.xml"/><Relationship Id="rId75" Type="http://schemas.openxmlformats.org/officeDocument/2006/relationships/image" Target="../media/image37.png"/><Relationship Id="rId83" Type="http://schemas.openxmlformats.org/officeDocument/2006/relationships/image" Target="../media/image41.png"/><Relationship Id="rId88" Type="http://schemas.openxmlformats.org/officeDocument/2006/relationships/customXml" Target="../ink/ink44.xml"/><Relationship Id="rId91" Type="http://schemas.openxmlformats.org/officeDocument/2006/relationships/image" Target="../media/image45.png"/><Relationship Id="rId1" Type="http://schemas.openxmlformats.org/officeDocument/2006/relationships/chart" Target="../charts/chart1.xml"/><Relationship Id="rId6" Type="http://schemas.openxmlformats.org/officeDocument/2006/relationships/customXml" Target="../ink/ink3.xml"/><Relationship Id="rId15" Type="http://schemas.openxmlformats.org/officeDocument/2006/relationships/image" Target="../media/image7.png"/><Relationship Id="rId23" Type="http://schemas.openxmlformats.org/officeDocument/2006/relationships/image" Target="../media/image11.png"/><Relationship Id="rId28" Type="http://schemas.openxmlformats.org/officeDocument/2006/relationships/customXml" Target="../ink/ink14.xml"/><Relationship Id="rId36" Type="http://schemas.openxmlformats.org/officeDocument/2006/relationships/customXml" Target="../ink/ink18.xml"/><Relationship Id="rId49" Type="http://schemas.openxmlformats.org/officeDocument/2006/relationships/image" Target="../media/image24.png"/><Relationship Id="rId57" Type="http://schemas.openxmlformats.org/officeDocument/2006/relationships/image" Target="../media/image28.png"/><Relationship Id="rId10" Type="http://schemas.openxmlformats.org/officeDocument/2006/relationships/customXml" Target="../ink/ink5.xml"/><Relationship Id="rId31" Type="http://schemas.openxmlformats.org/officeDocument/2006/relationships/image" Target="../media/image15.png"/><Relationship Id="rId44" Type="http://schemas.openxmlformats.org/officeDocument/2006/relationships/customXml" Target="../ink/ink22.xml"/><Relationship Id="rId52" Type="http://schemas.openxmlformats.org/officeDocument/2006/relationships/customXml" Target="../ink/ink26.xml"/><Relationship Id="rId60" Type="http://schemas.openxmlformats.org/officeDocument/2006/relationships/customXml" Target="../ink/ink30.xml"/><Relationship Id="rId65" Type="http://schemas.openxmlformats.org/officeDocument/2006/relationships/image" Target="../media/image32.png"/><Relationship Id="rId73" Type="http://schemas.openxmlformats.org/officeDocument/2006/relationships/image" Target="../media/image36.png"/><Relationship Id="rId78" Type="http://schemas.openxmlformats.org/officeDocument/2006/relationships/customXml" Target="../ink/ink39.xml"/><Relationship Id="rId81" Type="http://schemas.openxmlformats.org/officeDocument/2006/relationships/image" Target="../media/image40.png"/><Relationship Id="rId86" Type="http://schemas.openxmlformats.org/officeDocument/2006/relationships/customXml" Target="../ink/ink43.xml"/><Relationship Id="rId94" Type="http://schemas.openxmlformats.org/officeDocument/2006/relationships/customXml" Target="../ink/ink47.xml"/><Relationship Id="rId4" Type="http://schemas.openxmlformats.org/officeDocument/2006/relationships/customXml" Target="../ink/ink2.xml"/><Relationship Id="rId9" Type="http://schemas.openxmlformats.org/officeDocument/2006/relationships/image" Target="../media/image4.png"/><Relationship Id="rId13" Type="http://schemas.openxmlformats.org/officeDocument/2006/relationships/image" Target="../media/image6.png"/><Relationship Id="rId18" Type="http://schemas.openxmlformats.org/officeDocument/2006/relationships/customXml" Target="../ink/ink9.xml"/><Relationship Id="rId39" Type="http://schemas.openxmlformats.org/officeDocument/2006/relationships/image" Target="../media/image19.png"/><Relationship Id="rId34" Type="http://schemas.openxmlformats.org/officeDocument/2006/relationships/customXml" Target="../ink/ink17.xml"/><Relationship Id="rId50" Type="http://schemas.openxmlformats.org/officeDocument/2006/relationships/customXml" Target="../ink/ink25.xml"/><Relationship Id="rId55" Type="http://schemas.openxmlformats.org/officeDocument/2006/relationships/image" Target="../media/image27.png"/><Relationship Id="rId76" Type="http://schemas.openxmlformats.org/officeDocument/2006/relationships/customXml" Target="../ink/ink38.xml"/><Relationship Id="rId7" Type="http://schemas.openxmlformats.org/officeDocument/2006/relationships/image" Target="../media/image3.png"/><Relationship Id="rId71" Type="http://schemas.openxmlformats.org/officeDocument/2006/relationships/image" Target="../media/image35.png"/><Relationship Id="rId92" Type="http://schemas.openxmlformats.org/officeDocument/2006/relationships/customXml" Target="../ink/ink46.xml"/><Relationship Id="rId2" Type="http://schemas.openxmlformats.org/officeDocument/2006/relationships/customXml" Target="../ink/ink1.xml"/><Relationship Id="rId29" Type="http://schemas.openxmlformats.org/officeDocument/2006/relationships/image" Target="../media/image14.png"/><Relationship Id="rId24" Type="http://schemas.openxmlformats.org/officeDocument/2006/relationships/customXml" Target="../ink/ink12.xml"/><Relationship Id="rId40" Type="http://schemas.openxmlformats.org/officeDocument/2006/relationships/customXml" Target="../ink/ink20.xml"/><Relationship Id="rId45" Type="http://schemas.openxmlformats.org/officeDocument/2006/relationships/image" Target="../media/image22.png"/><Relationship Id="rId66" Type="http://schemas.openxmlformats.org/officeDocument/2006/relationships/customXml" Target="../ink/ink33.xml"/><Relationship Id="rId87" Type="http://schemas.openxmlformats.org/officeDocument/2006/relationships/image" Target="../media/image43.png"/><Relationship Id="rId61" Type="http://schemas.openxmlformats.org/officeDocument/2006/relationships/image" Target="../media/image30.png"/><Relationship Id="rId82" Type="http://schemas.openxmlformats.org/officeDocument/2006/relationships/customXml" Target="../ink/ink41.xml"/><Relationship Id="rId19" Type="http://schemas.openxmlformats.org/officeDocument/2006/relationships/image" Target="../media/image9.png"/><Relationship Id="rId14" Type="http://schemas.openxmlformats.org/officeDocument/2006/relationships/customXml" Target="../ink/ink7.xml"/><Relationship Id="rId30" Type="http://schemas.openxmlformats.org/officeDocument/2006/relationships/customXml" Target="../ink/ink15.xml"/><Relationship Id="rId35" Type="http://schemas.openxmlformats.org/officeDocument/2006/relationships/image" Target="../media/image17.png"/><Relationship Id="rId56" Type="http://schemas.openxmlformats.org/officeDocument/2006/relationships/customXml" Target="../ink/ink28.xml"/><Relationship Id="rId77" Type="http://schemas.openxmlformats.org/officeDocument/2006/relationships/image" Target="../media/image3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7620</xdr:colOff>
      <xdr:row>6</xdr:row>
      <xdr:rowOff>7620</xdr:rowOff>
    </xdr:from>
    <xdr:to>
      <xdr:col>11</xdr:col>
      <xdr:colOff>594360</xdr:colOff>
      <xdr:row>26</xdr:row>
      <xdr:rowOff>30480</xdr:rowOff>
    </xdr:to>
    <xdr:graphicFrame macro="">
      <xdr:nvGraphicFramePr>
        <xdr:cNvPr id="3" name="Chart 2">
          <a:extLst>
            <a:ext uri="{FF2B5EF4-FFF2-40B4-BE49-F238E27FC236}">
              <a16:creationId xmlns:a16="http://schemas.microsoft.com/office/drawing/2014/main" id="{E7A3E995-616D-78CF-0835-67433CFAC4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7200</xdr:colOff>
      <xdr:row>4</xdr:row>
      <xdr:rowOff>30240</xdr:rowOff>
    </xdr:from>
    <xdr:to>
      <xdr:col>5</xdr:col>
      <xdr:colOff>7560</xdr:colOff>
      <xdr:row>4</xdr:row>
      <xdr:rowOff>30600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
          <xdr14:nvContentPartPr>
            <xdr14:cNvPr id="5" name="Ink 4">
              <a:extLst>
                <a:ext uri="{FF2B5EF4-FFF2-40B4-BE49-F238E27FC236}">
                  <a16:creationId xmlns:a16="http://schemas.microsoft.com/office/drawing/2014/main" id="{8C721879-0F6A-4858-1BFC-749D5CAF24B6}"/>
                </a:ext>
              </a:extLst>
            </xdr14:cNvPr>
            <xdr14:cNvContentPartPr/>
          </xdr14:nvContentPartPr>
          <xdr14:nvPr macro=""/>
          <xdr14:xfrm>
            <a:off x="5265000" y="990360"/>
            <a:ext cx="360" cy="360"/>
          </xdr14:xfrm>
        </xdr:contentPart>
      </mc:Choice>
      <mc:Fallback xmlns="">
        <xdr:pic>
          <xdr:nvPicPr>
            <xdr:cNvPr id="5" name="Ink 4">
              <a:extLst>
                <a:ext uri="{FF2B5EF4-FFF2-40B4-BE49-F238E27FC236}">
                  <a16:creationId xmlns:a16="http://schemas.microsoft.com/office/drawing/2014/main" id="{8C721879-0F6A-4858-1BFC-749D5CAF24B6}"/>
                </a:ext>
              </a:extLst>
            </xdr:cNvPr>
            <xdr:cNvPicPr/>
          </xdr:nvPicPr>
          <xdr:blipFill>
            <a:blip xmlns:r="http://schemas.openxmlformats.org/officeDocument/2006/relationships" r:embed="rId3"/>
            <a:stretch>
              <a:fillRect/>
            </a:stretch>
          </xdr:blipFill>
          <xdr:spPr>
            <a:xfrm>
              <a:off x="5256360" y="981360"/>
              <a:ext cx="18000" cy="18000"/>
            </a:xfrm>
            <a:prstGeom prst="rect">
              <a:avLst/>
            </a:prstGeom>
          </xdr:spPr>
        </xdr:pic>
      </mc:Fallback>
    </mc:AlternateContent>
    <xdr:clientData/>
  </xdr:twoCellAnchor>
  <xdr:twoCellAnchor editAs="oneCell">
    <xdr:from>
      <xdr:col>4</xdr:col>
      <xdr:colOff>464340</xdr:colOff>
      <xdr:row>4</xdr:row>
      <xdr:rowOff>37800</xdr:rowOff>
    </xdr:from>
    <xdr:to>
      <xdr:col>4</xdr:col>
      <xdr:colOff>464700</xdr:colOff>
      <xdr:row>4</xdr:row>
      <xdr:rowOff>38160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4">
          <xdr14:nvContentPartPr>
            <xdr14:cNvPr id="6" name="Ink 5">
              <a:extLst>
                <a:ext uri="{FF2B5EF4-FFF2-40B4-BE49-F238E27FC236}">
                  <a16:creationId xmlns:a16="http://schemas.microsoft.com/office/drawing/2014/main" id="{A596D569-8BDA-4901-983D-6D70EB206C73}"/>
                </a:ext>
              </a:extLst>
            </xdr14:cNvPr>
            <xdr14:cNvContentPartPr/>
          </xdr14:nvContentPartPr>
          <xdr14:nvPr macro=""/>
          <xdr14:xfrm>
            <a:off x="4861080" y="997920"/>
            <a:ext cx="360" cy="360"/>
          </xdr14:xfrm>
        </xdr:contentPart>
      </mc:Choice>
      <mc:Fallback xmlns="">
        <xdr:pic>
          <xdr:nvPicPr>
            <xdr:cNvPr id="6" name="Ink 5">
              <a:extLst>
                <a:ext uri="{FF2B5EF4-FFF2-40B4-BE49-F238E27FC236}">
                  <a16:creationId xmlns:a16="http://schemas.microsoft.com/office/drawing/2014/main" id="{A596D569-8BDA-4901-983D-6D70EB206C73}"/>
                </a:ext>
              </a:extLst>
            </xdr:cNvPr>
            <xdr:cNvPicPr/>
          </xdr:nvPicPr>
          <xdr:blipFill>
            <a:blip xmlns:r="http://schemas.openxmlformats.org/officeDocument/2006/relationships" r:embed="rId5"/>
            <a:stretch>
              <a:fillRect/>
            </a:stretch>
          </xdr:blipFill>
          <xdr:spPr>
            <a:xfrm>
              <a:off x="4852440" y="988920"/>
              <a:ext cx="18000" cy="18000"/>
            </a:xfrm>
            <a:prstGeom prst="rect">
              <a:avLst/>
            </a:prstGeom>
          </xdr:spPr>
        </xdr:pic>
      </mc:Fallback>
    </mc:AlternateContent>
    <xdr:clientData/>
  </xdr:twoCellAnchor>
  <xdr:twoCellAnchor editAs="oneCell">
    <xdr:from>
      <xdr:col>4</xdr:col>
      <xdr:colOff>342660</xdr:colOff>
      <xdr:row>3</xdr:row>
      <xdr:rowOff>83520</xdr:rowOff>
    </xdr:from>
    <xdr:to>
      <xdr:col>4</xdr:col>
      <xdr:colOff>343020</xdr:colOff>
      <xdr:row>3</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
          <xdr14:nvContentPartPr>
            <xdr14:cNvPr id="7" name="Ink 6">
              <a:extLst>
                <a:ext uri="{FF2B5EF4-FFF2-40B4-BE49-F238E27FC236}">
                  <a16:creationId xmlns:a16="http://schemas.microsoft.com/office/drawing/2014/main" id="{488ED7DE-32A0-9FEB-055F-B3F8C8711D6B}"/>
                </a:ext>
              </a:extLst>
            </xdr14:cNvPr>
            <xdr14:cNvContentPartPr/>
          </xdr14:nvContentPartPr>
          <xdr14:nvPr macro=""/>
          <xdr14:xfrm>
            <a:off x="4739400" y="860760"/>
            <a:ext cx="360" cy="360"/>
          </xdr14:xfrm>
        </xdr:contentPart>
      </mc:Choice>
      <mc:Fallback xmlns="">
        <xdr:pic>
          <xdr:nvPicPr>
            <xdr:cNvPr id="7" name="Ink 6">
              <a:extLst>
                <a:ext uri="{FF2B5EF4-FFF2-40B4-BE49-F238E27FC236}">
                  <a16:creationId xmlns:a16="http://schemas.microsoft.com/office/drawing/2014/main" id="{488ED7DE-32A0-9FEB-055F-B3F8C8711D6B}"/>
                </a:ext>
              </a:extLst>
            </xdr:cNvPr>
            <xdr:cNvPicPr/>
          </xdr:nvPicPr>
          <xdr:blipFill>
            <a:blip xmlns:r="http://schemas.openxmlformats.org/officeDocument/2006/relationships" r:embed="rId7"/>
            <a:stretch>
              <a:fillRect/>
            </a:stretch>
          </xdr:blipFill>
          <xdr:spPr>
            <a:xfrm>
              <a:off x="4730760" y="851760"/>
              <a:ext cx="18000" cy="18000"/>
            </a:xfrm>
            <a:prstGeom prst="rect">
              <a:avLst/>
            </a:prstGeom>
          </xdr:spPr>
        </xdr:pic>
      </mc:Fallback>
    </mc:AlternateContent>
    <xdr:clientData/>
  </xdr:twoCellAnchor>
  <xdr:twoCellAnchor editAs="oneCell">
    <xdr:from>
      <xdr:col>4</xdr:col>
      <xdr:colOff>159780</xdr:colOff>
      <xdr:row>4</xdr:row>
      <xdr:rowOff>83520</xdr:rowOff>
    </xdr:from>
    <xdr:to>
      <xdr:col>4</xdr:col>
      <xdr:colOff>160140</xdr:colOff>
      <xdr:row>4</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
          <xdr14:nvContentPartPr>
            <xdr14:cNvPr id="8" name="Ink 7">
              <a:extLst>
                <a:ext uri="{FF2B5EF4-FFF2-40B4-BE49-F238E27FC236}">
                  <a16:creationId xmlns:a16="http://schemas.microsoft.com/office/drawing/2014/main" id="{DB323F44-B777-B230-A2E8-1B2AEBDAB48E}"/>
                </a:ext>
              </a:extLst>
            </xdr14:cNvPr>
            <xdr14:cNvContentPartPr/>
          </xdr14:nvContentPartPr>
          <xdr14:nvPr macro=""/>
          <xdr14:xfrm>
            <a:off x="4556520" y="1043640"/>
            <a:ext cx="360" cy="360"/>
          </xdr14:xfrm>
        </xdr:contentPart>
      </mc:Choice>
      <mc:Fallback xmlns="">
        <xdr:pic>
          <xdr:nvPicPr>
            <xdr:cNvPr id="8" name="Ink 7">
              <a:extLst>
                <a:ext uri="{FF2B5EF4-FFF2-40B4-BE49-F238E27FC236}">
                  <a16:creationId xmlns:a16="http://schemas.microsoft.com/office/drawing/2014/main" id="{DB323F44-B777-B230-A2E8-1B2AEBDAB48E}"/>
                </a:ext>
              </a:extLst>
            </xdr:cNvPr>
            <xdr:cNvPicPr/>
          </xdr:nvPicPr>
          <xdr:blipFill>
            <a:blip xmlns:r="http://schemas.openxmlformats.org/officeDocument/2006/relationships" r:embed="rId9"/>
            <a:stretch>
              <a:fillRect/>
            </a:stretch>
          </xdr:blipFill>
          <xdr:spPr>
            <a:xfrm>
              <a:off x="4547880" y="1034640"/>
              <a:ext cx="18000" cy="18000"/>
            </a:xfrm>
            <a:prstGeom prst="rect">
              <a:avLst/>
            </a:prstGeom>
          </xdr:spPr>
        </xdr:pic>
      </mc:Fallback>
    </mc:AlternateContent>
    <xdr:clientData/>
  </xdr:twoCellAnchor>
  <xdr:twoCellAnchor editAs="oneCell">
    <xdr:from>
      <xdr:col>4</xdr:col>
      <xdr:colOff>685380</xdr:colOff>
      <xdr:row>3</xdr:row>
      <xdr:rowOff>136800</xdr:rowOff>
    </xdr:from>
    <xdr:to>
      <xdr:col>4</xdr:col>
      <xdr:colOff>685740</xdr:colOff>
      <xdr:row>3</xdr:row>
      <xdr:rowOff>137160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0">
          <xdr14:nvContentPartPr>
            <xdr14:cNvPr id="9" name="Ink 8">
              <a:extLst>
                <a:ext uri="{FF2B5EF4-FFF2-40B4-BE49-F238E27FC236}">
                  <a16:creationId xmlns:a16="http://schemas.microsoft.com/office/drawing/2014/main" id="{04AC9D69-2ECC-A5B1-925F-B362F6469041}"/>
                </a:ext>
              </a:extLst>
            </xdr14:cNvPr>
            <xdr14:cNvContentPartPr/>
          </xdr14:nvContentPartPr>
          <xdr14:nvPr macro=""/>
          <xdr14:xfrm>
            <a:off x="5082120" y="914040"/>
            <a:ext cx="360" cy="360"/>
          </xdr14:xfrm>
        </xdr:contentPart>
      </mc:Choice>
      <mc:Fallback xmlns="">
        <xdr:pic>
          <xdr:nvPicPr>
            <xdr:cNvPr id="9" name="Ink 8">
              <a:extLst>
                <a:ext uri="{FF2B5EF4-FFF2-40B4-BE49-F238E27FC236}">
                  <a16:creationId xmlns:a16="http://schemas.microsoft.com/office/drawing/2014/main" id="{04AC9D69-2ECC-A5B1-925F-B362F6469041}"/>
                </a:ext>
              </a:extLst>
            </xdr:cNvPr>
            <xdr:cNvPicPr/>
          </xdr:nvPicPr>
          <xdr:blipFill>
            <a:blip xmlns:r="http://schemas.openxmlformats.org/officeDocument/2006/relationships" r:embed="rId11"/>
            <a:stretch>
              <a:fillRect/>
            </a:stretch>
          </xdr:blipFill>
          <xdr:spPr>
            <a:xfrm>
              <a:off x="5073480" y="905040"/>
              <a:ext cx="18000" cy="18000"/>
            </a:xfrm>
            <a:prstGeom prst="rect">
              <a:avLst/>
            </a:prstGeom>
          </xdr:spPr>
        </xdr:pic>
      </mc:Fallback>
    </mc:AlternateContent>
    <xdr:clientData/>
  </xdr:twoCellAnchor>
  <xdr:twoCellAnchor editAs="oneCell">
    <xdr:from>
      <xdr:col>5</xdr:col>
      <xdr:colOff>273960</xdr:colOff>
      <xdr:row>3</xdr:row>
      <xdr:rowOff>106560</xdr:rowOff>
    </xdr:from>
    <xdr:to>
      <xdr:col>5</xdr:col>
      <xdr:colOff>274320</xdr:colOff>
      <xdr:row>3</xdr:row>
      <xdr:rowOff>106920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2">
          <xdr14:nvContentPartPr>
            <xdr14:cNvPr id="10" name="Ink 9">
              <a:extLst>
                <a:ext uri="{FF2B5EF4-FFF2-40B4-BE49-F238E27FC236}">
                  <a16:creationId xmlns:a16="http://schemas.microsoft.com/office/drawing/2014/main" id="{EACB2DC2-0C6D-0FE0-173C-42B5A057D65B}"/>
                </a:ext>
              </a:extLst>
            </xdr14:cNvPr>
            <xdr14:cNvContentPartPr/>
          </xdr14:nvContentPartPr>
          <xdr14:nvPr macro=""/>
          <xdr14:xfrm>
            <a:off x="5531760" y="883800"/>
            <a:ext cx="360" cy="360"/>
          </xdr14:xfrm>
        </xdr:contentPart>
      </mc:Choice>
      <mc:Fallback xmlns="">
        <xdr:pic>
          <xdr:nvPicPr>
            <xdr:cNvPr id="10" name="Ink 9">
              <a:extLst>
                <a:ext uri="{FF2B5EF4-FFF2-40B4-BE49-F238E27FC236}">
                  <a16:creationId xmlns:a16="http://schemas.microsoft.com/office/drawing/2014/main" id="{EACB2DC2-0C6D-0FE0-173C-42B5A057D65B}"/>
                </a:ext>
              </a:extLst>
            </xdr:cNvPr>
            <xdr:cNvPicPr/>
          </xdr:nvPicPr>
          <xdr:blipFill>
            <a:blip xmlns:r="http://schemas.openxmlformats.org/officeDocument/2006/relationships" r:embed="rId13"/>
            <a:stretch>
              <a:fillRect/>
            </a:stretch>
          </xdr:blipFill>
          <xdr:spPr>
            <a:xfrm>
              <a:off x="5523120" y="874800"/>
              <a:ext cx="18000" cy="18000"/>
            </a:xfrm>
            <a:prstGeom prst="rect">
              <a:avLst/>
            </a:prstGeom>
          </xdr:spPr>
        </xdr:pic>
      </mc:Fallback>
    </mc:AlternateContent>
    <xdr:clientData/>
  </xdr:twoCellAnchor>
  <xdr:twoCellAnchor editAs="oneCell">
    <xdr:from>
      <xdr:col>5</xdr:col>
      <xdr:colOff>220680</xdr:colOff>
      <xdr:row>4</xdr:row>
      <xdr:rowOff>98640</xdr:rowOff>
    </xdr:from>
    <xdr:to>
      <xdr:col>5</xdr:col>
      <xdr:colOff>221040</xdr:colOff>
      <xdr:row>4</xdr:row>
      <xdr:rowOff>99000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4">
          <xdr14:nvContentPartPr>
            <xdr14:cNvPr id="11" name="Ink 10">
              <a:extLst>
                <a:ext uri="{FF2B5EF4-FFF2-40B4-BE49-F238E27FC236}">
                  <a16:creationId xmlns:a16="http://schemas.microsoft.com/office/drawing/2014/main" id="{9112F209-D6AF-C10A-54C7-C6B55E2AED3D}"/>
                </a:ext>
              </a:extLst>
            </xdr14:cNvPr>
            <xdr14:cNvContentPartPr/>
          </xdr14:nvContentPartPr>
          <xdr14:nvPr macro=""/>
          <xdr14:xfrm>
            <a:off x="5478480" y="1058760"/>
            <a:ext cx="360" cy="360"/>
          </xdr14:xfrm>
        </xdr:contentPart>
      </mc:Choice>
      <mc:Fallback xmlns="">
        <xdr:pic>
          <xdr:nvPicPr>
            <xdr:cNvPr id="11" name="Ink 10">
              <a:extLst>
                <a:ext uri="{FF2B5EF4-FFF2-40B4-BE49-F238E27FC236}">
                  <a16:creationId xmlns:a16="http://schemas.microsoft.com/office/drawing/2014/main" id="{9112F209-D6AF-C10A-54C7-C6B55E2AED3D}"/>
                </a:ext>
              </a:extLst>
            </xdr:cNvPr>
            <xdr:cNvPicPr/>
          </xdr:nvPicPr>
          <xdr:blipFill>
            <a:blip xmlns:r="http://schemas.openxmlformats.org/officeDocument/2006/relationships" r:embed="rId15"/>
            <a:stretch>
              <a:fillRect/>
            </a:stretch>
          </xdr:blipFill>
          <xdr:spPr>
            <a:xfrm>
              <a:off x="5469840" y="1049760"/>
              <a:ext cx="18000" cy="18000"/>
            </a:xfrm>
            <a:prstGeom prst="rect">
              <a:avLst/>
            </a:prstGeom>
          </xdr:spPr>
        </xdr:pic>
      </mc:Fallback>
    </mc:AlternateContent>
    <xdr:clientData/>
  </xdr:twoCellAnchor>
  <xdr:twoCellAnchor editAs="oneCell">
    <xdr:from>
      <xdr:col>6</xdr:col>
      <xdr:colOff>174840</xdr:colOff>
      <xdr:row>3</xdr:row>
      <xdr:rowOff>98640</xdr:rowOff>
    </xdr:from>
    <xdr:to>
      <xdr:col>6</xdr:col>
      <xdr:colOff>175200</xdr:colOff>
      <xdr:row>3</xdr:row>
      <xdr:rowOff>99000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6">
          <xdr14:nvContentPartPr>
            <xdr14:cNvPr id="12" name="Ink 11">
              <a:extLst>
                <a:ext uri="{FF2B5EF4-FFF2-40B4-BE49-F238E27FC236}">
                  <a16:creationId xmlns:a16="http://schemas.microsoft.com/office/drawing/2014/main" id="{62C9E7D1-17D5-721B-1393-E1E6546B24C2}"/>
                </a:ext>
              </a:extLst>
            </xdr14:cNvPr>
            <xdr14:cNvContentPartPr/>
          </xdr14:nvContentPartPr>
          <xdr14:nvPr macro=""/>
          <xdr14:xfrm>
            <a:off x="6042240" y="875880"/>
            <a:ext cx="360" cy="360"/>
          </xdr14:xfrm>
        </xdr:contentPart>
      </mc:Choice>
      <mc:Fallback xmlns="">
        <xdr:pic>
          <xdr:nvPicPr>
            <xdr:cNvPr id="12" name="Ink 11">
              <a:extLst>
                <a:ext uri="{FF2B5EF4-FFF2-40B4-BE49-F238E27FC236}">
                  <a16:creationId xmlns:a16="http://schemas.microsoft.com/office/drawing/2014/main" id="{62C9E7D1-17D5-721B-1393-E1E6546B24C2}"/>
                </a:ext>
              </a:extLst>
            </xdr:cNvPr>
            <xdr:cNvPicPr/>
          </xdr:nvPicPr>
          <xdr:blipFill>
            <a:blip xmlns:r="http://schemas.openxmlformats.org/officeDocument/2006/relationships" r:embed="rId17"/>
            <a:stretch>
              <a:fillRect/>
            </a:stretch>
          </xdr:blipFill>
          <xdr:spPr>
            <a:xfrm>
              <a:off x="6033600" y="866880"/>
              <a:ext cx="18000" cy="18000"/>
            </a:xfrm>
            <a:prstGeom prst="rect">
              <a:avLst/>
            </a:prstGeom>
          </xdr:spPr>
        </xdr:pic>
      </mc:Fallback>
    </mc:AlternateContent>
    <xdr:clientData/>
  </xdr:twoCellAnchor>
  <xdr:twoCellAnchor editAs="oneCell">
    <xdr:from>
      <xdr:col>6</xdr:col>
      <xdr:colOff>563640</xdr:colOff>
      <xdr:row>3</xdr:row>
      <xdr:rowOff>91080</xdr:rowOff>
    </xdr:from>
    <xdr:to>
      <xdr:col>6</xdr:col>
      <xdr:colOff>564000</xdr:colOff>
      <xdr:row>3</xdr:row>
      <xdr:rowOff>91440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8">
          <xdr14:nvContentPartPr>
            <xdr14:cNvPr id="13" name="Ink 12">
              <a:extLst>
                <a:ext uri="{FF2B5EF4-FFF2-40B4-BE49-F238E27FC236}">
                  <a16:creationId xmlns:a16="http://schemas.microsoft.com/office/drawing/2014/main" id="{C3D0B956-B0A4-CFD9-2E55-9079FC6E95A6}"/>
                </a:ext>
              </a:extLst>
            </xdr14:cNvPr>
            <xdr14:cNvContentPartPr/>
          </xdr14:nvContentPartPr>
          <xdr14:nvPr macro=""/>
          <xdr14:xfrm>
            <a:off x="6431040" y="868320"/>
            <a:ext cx="360" cy="360"/>
          </xdr14:xfrm>
        </xdr:contentPart>
      </mc:Choice>
      <mc:Fallback xmlns="">
        <xdr:pic>
          <xdr:nvPicPr>
            <xdr:cNvPr id="13" name="Ink 12">
              <a:extLst>
                <a:ext uri="{FF2B5EF4-FFF2-40B4-BE49-F238E27FC236}">
                  <a16:creationId xmlns:a16="http://schemas.microsoft.com/office/drawing/2014/main" id="{C3D0B956-B0A4-CFD9-2E55-9079FC6E95A6}"/>
                </a:ext>
              </a:extLst>
            </xdr:cNvPr>
            <xdr:cNvPicPr/>
          </xdr:nvPicPr>
          <xdr:blipFill>
            <a:blip xmlns:r="http://schemas.openxmlformats.org/officeDocument/2006/relationships" r:embed="rId19"/>
            <a:stretch>
              <a:fillRect/>
            </a:stretch>
          </xdr:blipFill>
          <xdr:spPr>
            <a:xfrm>
              <a:off x="6422400" y="859320"/>
              <a:ext cx="18000" cy="18000"/>
            </a:xfrm>
            <a:prstGeom prst="rect">
              <a:avLst/>
            </a:prstGeom>
          </xdr:spPr>
        </xdr:pic>
      </mc:Fallback>
    </mc:AlternateContent>
    <xdr:clientData/>
  </xdr:twoCellAnchor>
  <xdr:twoCellAnchor editAs="oneCell">
    <xdr:from>
      <xdr:col>7</xdr:col>
      <xdr:colOff>266520</xdr:colOff>
      <xdr:row>3</xdr:row>
      <xdr:rowOff>83520</xdr:rowOff>
    </xdr:from>
    <xdr:to>
      <xdr:col>7</xdr:col>
      <xdr:colOff>266880</xdr:colOff>
      <xdr:row>3</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0">
          <xdr14:nvContentPartPr>
            <xdr14:cNvPr id="14" name="Ink 13">
              <a:extLst>
                <a:ext uri="{FF2B5EF4-FFF2-40B4-BE49-F238E27FC236}">
                  <a16:creationId xmlns:a16="http://schemas.microsoft.com/office/drawing/2014/main" id="{523BB4E1-0C3F-A9D7-9AE1-FFA78DB4D8C6}"/>
                </a:ext>
              </a:extLst>
            </xdr14:cNvPr>
            <xdr14:cNvContentPartPr/>
          </xdr14:nvContentPartPr>
          <xdr14:nvPr macro=""/>
          <xdr14:xfrm>
            <a:off x="6743520" y="860760"/>
            <a:ext cx="360" cy="360"/>
          </xdr14:xfrm>
        </xdr:contentPart>
      </mc:Choice>
      <mc:Fallback xmlns="">
        <xdr:pic>
          <xdr:nvPicPr>
            <xdr:cNvPr id="14" name="Ink 13">
              <a:extLst>
                <a:ext uri="{FF2B5EF4-FFF2-40B4-BE49-F238E27FC236}">
                  <a16:creationId xmlns:a16="http://schemas.microsoft.com/office/drawing/2014/main" id="{523BB4E1-0C3F-A9D7-9AE1-FFA78DB4D8C6}"/>
                </a:ext>
              </a:extLst>
            </xdr:cNvPr>
            <xdr:cNvPicPr/>
          </xdr:nvPicPr>
          <xdr:blipFill>
            <a:blip xmlns:r="http://schemas.openxmlformats.org/officeDocument/2006/relationships" r:embed="rId21"/>
            <a:stretch>
              <a:fillRect/>
            </a:stretch>
          </xdr:blipFill>
          <xdr:spPr>
            <a:xfrm>
              <a:off x="6734880" y="851760"/>
              <a:ext cx="18000" cy="18000"/>
            </a:xfrm>
            <a:prstGeom prst="rect">
              <a:avLst/>
            </a:prstGeom>
          </xdr:spPr>
        </xdr:pic>
      </mc:Fallback>
    </mc:AlternateContent>
    <xdr:clientData/>
  </xdr:twoCellAnchor>
  <xdr:twoCellAnchor editAs="oneCell">
    <xdr:from>
      <xdr:col>8</xdr:col>
      <xdr:colOff>52920</xdr:colOff>
      <xdr:row>3</xdr:row>
      <xdr:rowOff>83520</xdr:rowOff>
    </xdr:from>
    <xdr:to>
      <xdr:col>8</xdr:col>
      <xdr:colOff>53280</xdr:colOff>
      <xdr:row>3</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2">
          <xdr14:nvContentPartPr>
            <xdr14:cNvPr id="15" name="Ink 14">
              <a:extLst>
                <a:ext uri="{FF2B5EF4-FFF2-40B4-BE49-F238E27FC236}">
                  <a16:creationId xmlns:a16="http://schemas.microsoft.com/office/drawing/2014/main" id="{ADDBDEEC-8F2D-609B-D22C-A5D5BA131CD2}"/>
                </a:ext>
              </a:extLst>
            </xdr14:cNvPr>
            <xdr14:cNvContentPartPr/>
          </xdr14:nvContentPartPr>
          <xdr14:nvPr macro=""/>
          <xdr14:xfrm>
            <a:off x="7139520" y="860760"/>
            <a:ext cx="360" cy="360"/>
          </xdr14:xfrm>
        </xdr:contentPart>
      </mc:Choice>
      <mc:Fallback xmlns="">
        <xdr:pic>
          <xdr:nvPicPr>
            <xdr:cNvPr id="15" name="Ink 14">
              <a:extLst>
                <a:ext uri="{FF2B5EF4-FFF2-40B4-BE49-F238E27FC236}">
                  <a16:creationId xmlns:a16="http://schemas.microsoft.com/office/drawing/2014/main" id="{ADDBDEEC-8F2D-609B-D22C-A5D5BA131CD2}"/>
                </a:ext>
              </a:extLst>
            </xdr:cNvPr>
            <xdr:cNvPicPr/>
          </xdr:nvPicPr>
          <xdr:blipFill>
            <a:blip xmlns:r="http://schemas.openxmlformats.org/officeDocument/2006/relationships" r:embed="rId23"/>
            <a:stretch>
              <a:fillRect/>
            </a:stretch>
          </xdr:blipFill>
          <xdr:spPr>
            <a:xfrm>
              <a:off x="7130880" y="851760"/>
              <a:ext cx="18000" cy="18000"/>
            </a:xfrm>
            <a:prstGeom prst="rect">
              <a:avLst/>
            </a:prstGeom>
          </xdr:spPr>
        </xdr:pic>
      </mc:Fallback>
    </mc:AlternateContent>
    <xdr:clientData/>
  </xdr:twoCellAnchor>
  <xdr:twoCellAnchor editAs="oneCell">
    <xdr:from>
      <xdr:col>8</xdr:col>
      <xdr:colOff>418680</xdr:colOff>
      <xdr:row>3</xdr:row>
      <xdr:rowOff>75960</xdr:rowOff>
    </xdr:from>
    <xdr:to>
      <xdr:col>8</xdr:col>
      <xdr:colOff>419040</xdr:colOff>
      <xdr:row>3</xdr:row>
      <xdr:rowOff>76320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4">
          <xdr14:nvContentPartPr>
            <xdr14:cNvPr id="16" name="Ink 15">
              <a:extLst>
                <a:ext uri="{FF2B5EF4-FFF2-40B4-BE49-F238E27FC236}">
                  <a16:creationId xmlns:a16="http://schemas.microsoft.com/office/drawing/2014/main" id="{5D66BC86-0E35-48D1-E576-C07953578562}"/>
                </a:ext>
              </a:extLst>
            </xdr14:cNvPr>
            <xdr14:cNvContentPartPr/>
          </xdr14:nvContentPartPr>
          <xdr14:nvPr macro=""/>
          <xdr14:xfrm>
            <a:off x="7505280" y="853200"/>
            <a:ext cx="360" cy="360"/>
          </xdr14:xfrm>
        </xdr:contentPart>
      </mc:Choice>
      <mc:Fallback xmlns="">
        <xdr:pic>
          <xdr:nvPicPr>
            <xdr:cNvPr id="16" name="Ink 15">
              <a:extLst>
                <a:ext uri="{FF2B5EF4-FFF2-40B4-BE49-F238E27FC236}">
                  <a16:creationId xmlns:a16="http://schemas.microsoft.com/office/drawing/2014/main" id="{5D66BC86-0E35-48D1-E576-C07953578562}"/>
                </a:ext>
              </a:extLst>
            </xdr:cNvPr>
            <xdr:cNvPicPr/>
          </xdr:nvPicPr>
          <xdr:blipFill>
            <a:blip xmlns:r="http://schemas.openxmlformats.org/officeDocument/2006/relationships" r:embed="rId25"/>
            <a:stretch>
              <a:fillRect/>
            </a:stretch>
          </xdr:blipFill>
          <xdr:spPr>
            <a:xfrm>
              <a:off x="7496640" y="844200"/>
              <a:ext cx="18000" cy="18000"/>
            </a:xfrm>
            <a:prstGeom prst="rect">
              <a:avLst/>
            </a:prstGeom>
          </xdr:spPr>
        </xdr:pic>
      </mc:Fallback>
    </mc:AlternateContent>
    <xdr:clientData/>
  </xdr:twoCellAnchor>
  <xdr:twoCellAnchor editAs="oneCell">
    <xdr:from>
      <xdr:col>9</xdr:col>
      <xdr:colOff>121560</xdr:colOff>
      <xdr:row>3</xdr:row>
      <xdr:rowOff>83520</xdr:rowOff>
    </xdr:from>
    <xdr:to>
      <xdr:col>9</xdr:col>
      <xdr:colOff>121920</xdr:colOff>
      <xdr:row>3</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6">
          <xdr14:nvContentPartPr>
            <xdr14:cNvPr id="17" name="Ink 16">
              <a:extLst>
                <a:ext uri="{FF2B5EF4-FFF2-40B4-BE49-F238E27FC236}">
                  <a16:creationId xmlns:a16="http://schemas.microsoft.com/office/drawing/2014/main" id="{3B71A957-6F4E-A40B-D5B6-8EC0A88E8A8D}"/>
                </a:ext>
              </a:extLst>
            </xdr14:cNvPr>
            <xdr14:cNvContentPartPr/>
          </xdr14:nvContentPartPr>
          <xdr14:nvPr macro=""/>
          <xdr14:xfrm>
            <a:off x="7817760" y="860760"/>
            <a:ext cx="360" cy="360"/>
          </xdr14:xfrm>
        </xdr:contentPart>
      </mc:Choice>
      <mc:Fallback xmlns="">
        <xdr:pic>
          <xdr:nvPicPr>
            <xdr:cNvPr id="17" name="Ink 16">
              <a:extLst>
                <a:ext uri="{FF2B5EF4-FFF2-40B4-BE49-F238E27FC236}">
                  <a16:creationId xmlns:a16="http://schemas.microsoft.com/office/drawing/2014/main" id="{3B71A957-6F4E-A40B-D5B6-8EC0A88E8A8D}"/>
                </a:ext>
              </a:extLst>
            </xdr:cNvPr>
            <xdr:cNvPicPr/>
          </xdr:nvPicPr>
          <xdr:blipFill>
            <a:blip xmlns:r="http://schemas.openxmlformats.org/officeDocument/2006/relationships" r:embed="rId27"/>
            <a:stretch>
              <a:fillRect/>
            </a:stretch>
          </xdr:blipFill>
          <xdr:spPr>
            <a:xfrm>
              <a:off x="7809120" y="851760"/>
              <a:ext cx="18000" cy="18000"/>
            </a:xfrm>
            <a:prstGeom prst="rect">
              <a:avLst/>
            </a:prstGeom>
          </xdr:spPr>
        </xdr:pic>
      </mc:Fallback>
    </mc:AlternateContent>
    <xdr:clientData/>
  </xdr:twoCellAnchor>
  <xdr:twoCellAnchor editAs="oneCell">
    <xdr:from>
      <xdr:col>9</xdr:col>
      <xdr:colOff>472200</xdr:colOff>
      <xdr:row>3</xdr:row>
      <xdr:rowOff>83520</xdr:rowOff>
    </xdr:from>
    <xdr:to>
      <xdr:col>9</xdr:col>
      <xdr:colOff>472560</xdr:colOff>
      <xdr:row>3</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28">
          <xdr14:nvContentPartPr>
            <xdr14:cNvPr id="18" name="Ink 17">
              <a:extLst>
                <a:ext uri="{FF2B5EF4-FFF2-40B4-BE49-F238E27FC236}">
                  <a16:creationId xmlns:a16="http://schemas.microsoft.com/office/drawing/2014/main" id="{E40B1A9B-2F61-1223-47A1-F9002484AB31}"/>
                </a:ext>
              </a:extLst>
            </xdr14:cNvPr>
            <xdr14:cNvContentPartPr/>
          </xdr14:nvContentPartPr>
          <xdr14:nvPr macro=""/>
          <xdr14:xfrm>
            <a:off x="8168400" y="860760"/>
            <a:ext cx="360" cy="360"/>
          </xdr14:xfrm>
        </xdr:contentPart>
      </mc:Choice>
      <mc:Fallback xmlns="">
        <xdr:pic>
          <xdr:nvPicPr>
            <xdr:cNvPr id="18" name="Ink 17">
              <a:extLst>
                <a:ext uri="{FF2B5EF4-FFF2-40B4-BE49-F238E27FC236}">
                  <a16:creationId xmlns:a16="http://schemas.microsoft.com/office/drawing/2014/main" id="{E40B1A9B-2F61-1223-47A1-F9002484AB31}"/>
                </a:ext>
              </a:extLst>
            </xdr:cNvPr>
            <xdr:cNvPicPr/>
          </xdr:nvPicPr>
          <xdr:blipFill>
            <a:blip xmlns:r="http://schemas.openxmlformats.org/officeDocument/2006/relationships" r:embed="rId29"/>
            <a:stretch>
              <a:fillRect/>
            </a:stretch>
          </xdr:blipFill>
          <xdr:spPr>
            <a:xfrm>
              <a:off x="8159760" y="851760"/>
              <a:ext cx="18000" cy="18000"/>
            </a:xfrm>
            <a:prstGeom prst="rect">
              <a:avLst/>
            </a:prstGeom>
          </xdr:spPr>
        </xdr:pic>
      </mc:Fallback>
    </mc:AlternateContent>
    <xdr:clientData/>
  </xdr:twoCellAnchor>
  <xdr:twoCellAnchor editAs="oneCell">
    <xdr:from>
      <xdr:col>10</xdr:col>
      <xdr:colOff>129360</xdr:colOff>
      <xdr:row>4</xdr:row>
      <xdr:rowOff>106560</xdr:rowOff>
    </xdr:from>
    <xdr:to>
      <xdr:col>10</xdr:col>
      <xdr:colOff>129720</xdr:colOff>
      <xdr:row>4</xdr:row>
      <xdr:rowOff>106920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30">
          <xdr14:nvContentPartPr>
            <xdr14:cNvPr id="19" name="Ink 18">
              <a:extLst>
                <a:ext uri="{FF2B5EF4-FFF2-40B4-BE49-F238E27FC236}">
                  <a16:creationId xmlns:a16="http://schemas.microsoft.com/office/drawing/2014/main" id="{118F97B6-FFAE-8844-BF62-B3DA12B12F3A}"/>
                </a:ext>
              </a:extLst>
            </xdr14:cNvPr>
            <xdr14:cNvContentPartPr/>
          </xdr14:nvContentPartPr>
          <xdr14:nvPr macro=""/>
          <xdr14:xfrm>
            <a:off x="8435160" y="1066680"/>
            <a:ext cx="360" cy="360"/>
          </xdr14:xfrm>
        </xdr:contentPart>
      </mc:Choice>
      <mc:Fallback xmlns="">
        <xdr:pic>
          <xdr:nvPicPr>
            <xdr:cNvPr id="19" name="Ink 18">
              <a:extLst>
                <a:ext uri="{FF2B5EF4-FFF2-40B4-BE49-F238E27FC236}">
                  <a16:creationId xmlns:a16="http://schemas.microsoft.com/office/drawing/2014/main" id="{118F97B6-FFAE-8844-BF62-B3DA12B12F3A}"/>
                </a:ext>
              </a:extLst>
            </xdr:cNvPr>
            <xdr:cNvPicPr/>
          </xdr:nvPicPr>
          <xdr:blipFill>
            <a:blip xmlns:r="http://schemas.openxmlformats.org/officeDocument/2006/relationships" r:embed="rId31"/>
            <a:stretch>
              <a:fillRect/>
            </a:stretch>
          </xdr:blipFill>
          <xdr:spPr>
            <a:xfrm>
              <a:off x="8426520" y="1057680"/>
              <a:ext cx="18000" cy="18000"/>
            </a:xfrm>
            <a:prstGeom prst="rect">
              <a:avLst/>
            </a:prstGeom>
          </xdr:spPr>
        </xdr:pic>
      </mc:Fallback>
    </mc:AlternateContent>
    <xdr:clientData/>
  </xdr:twoCellAnchor>
  <xdr:twoCellAnchor editAs="oneCell">
    <xdr:from>
      <xdr:col>10</xdr:col>
      <xdr:colOff>212880</xdr:colOff>
      <xdr:row>3</xdr:row>
      <xdr:rowOff>75960</xdr:rowOff>
    </xdr:from>
    <xdr:to>
      <xdr:col>10</xdr:col>
      <xdr:colOff>213240</xdr:colOff>
      <xdr:row>3</xdr:row>
      <xdr:rowOff>76320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32">
          <xdr14:nvContentPartPr>
            <xdr14:cNvPr id="20" name="Ink 19">
              <a:extLst>
                <a:ext uri="{FF2B5EF4-FFF2-40B4-BE49-F238E27FC236}">
                  <a16:creationId xmlns:a16="http://schemas.microsoft.com/office/drawing/2014/main" id="{76B8074B-928E-C804-395B-4D89045D09D7}"/>
                </a:ext>
              </a:extLst>
            </xdr14:cNvPr>
            <xdr14:cNvContentPartPr/>
          </xdr14:nvContentPartPr>
          <xdr14:nvPr macro=""/>
          <xdr14:xfrm>
            <a:off x="8518680" y="853200"/>
            <a:ext cx="360" cy="360"/>
          </xdr14:xfrm>
        </xdr:contentPart>
      </mc:Choice>
      <mc:Fallback xmlns="">
        <xdr:pic>
          <xdr:nvPicPr>
            <xdr:cNvPr id="20" name="Ink 19">
              <a:extLst>
                <a:ext uri="{FF2B5EF4-FFF2-40B4-BE49-F238E27FC236}">
                  <a16:creationId xmlns:a16="http://schemas.microsoft.com/office/drawing/2014/main" id="{76B8074B-928E-C804-395B-4D89045D09D7}"/>
                </a:ext>
              </a:extLst>
            </xdr:cNvPr>
            <xdr:cNvPicPr/>
          </xdr:nvPicPr>
          <xdr:blipFill>
            <a:blip xmlns:r="http://schemas.openxmlformats.org/officeDocument/2006/relationships" r:embed="rId33"/>
            <a:stretch>
              <a:fillRect/>
            </a:stretch>
          </xdr:blipFill>
          <xdr:spPr>
            <a:xfrm>
              <a:off x="8510040" y="844200"/>
              <a:ext cx="18000" cy="18000"/>
            </a:xfrm>
            <a:prstGeom prst="rect">
              <a:avLst/>
            </a:prstGeom>
          </xdr:spPr>
        </xdr:pic>
      </mc:Fallback>
    </mc:AlternateContent>
    <xdr:clientData/>
  </xdr:twoCellAnchor>
  <xdr:twoCellAnchor editAs="oneCell">
    <xdr:from>
      <xdr:col>10</xdr:col>
      <xdr:colOff>395760</xdr:colOff>
      <xdr:row>4</xdr:row>
      <xdr:rowOff>75960</xdr:rowOff>
    </xdr:from>
    <xdr:to>
      <xdr:col>10</xdr:col>
      <xdr:colOff>396120</xdr:colOff>
      <xdr:row>4</xdr:row>
      <xdr:rowOff>76320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34">
          <xdr14:nvContentPartPr>
            <xdr14:cNvPr id="21" name="Ink 20">
              <a:extLst>
                <a:ext uri="{FF2B5EF4-FFF2-40B4-BE49-F238E27FC236}">
                  <a16:creationId xmlns:a16="http://schemas.microsoft.com/office/drawing/2014/main" id="{DD7FD74A-502E-7F45-BD55-818CE9659787}"/>
                </a:ext>
              </a:extLst>
            </xdr14:cNvPr>
            <xdr14:cNvContentPartPr/>
          </xdr14:nvContentPartPr>
          <xdr14:nvPr macro=""/>
          <xdr14:xfrm>
            <a:off x="8701560" y="1036080"/>
            <a:ext cx="360" cy="360"/>
          </xdr14:xfrm>
        </xdr:contentPart>
      </mc:Choice>
      <mc:Fallback xmlns="">
        <xdr:pic>
          <xdr:nvPicPr>
            <xdr:cNvPr id="21" name="Ink 20">
              <a:extLst>
                <a:ext uri="{FF2B5EF4-FFF2-40B4-BE49-F238E27FC236}">
                  <a16:creationId xmlns:a16="http://schemas.microsoft.com/office/drawing/2014/main" id="{DD7FD74A-502E-7F45-BD55-818CE9659787}"/>
                </a:ext>
              </a:extLst>
            </xdr:cNvPr>
            <xdr:cNvPicPr/>
          </xdr:nvPicPr>
          <xdr:blipFill>
            <a:blip xmlns:r="http://schemas.openxmlformats.org/officeDocument/2006/relationships" r:embed="rId35"/>
            <a:stretch>
              <a:fillRect/>
            </a:stretch>
          </xdr:blipFill>
          <xdr:spPr>
            <a:xfrm>
              <a:off x="8692920" y="1027080"/>
              <a:ext cx="18000" cy="18000"/>
            </a:xfrm>
            <a:prstGeom prst="rect">
              <a:avLst/>
            </a:prstGeom>
          </xdr:spPr>
        </xdr:pic>
      </mc:Fallback>
    </mc:AlternateContent>
    <xdr:clientData/>
  </xdr:twoCellAnchor>
  <xdr:twoCellAnchor editAs="oneCell">
    <xdr:from>
      <xdr:col>10</xdr:col>
      <xdr:colOff>586560</xdr:colOff>
      <xdr:row>3</xdr:row>
      <xdr:rowOff>91080</xdr:rowOff>
    </xdr:from>
    <xdr:to>
      <xdr:col>10</xdr:col>
      <xdr:colOff>586920</xdr:colOff>
      <xdr:row>3</xdr:row>
      <xdr:rowOff>91440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36">
          <xdr14:nvContentPartPr>
            <xdr14:cNvPr id="22" name="Ink 21">
              <a:extLst>
                <a:ext uri="{FF2B5EF4-FFF2-40B4-BE49-F238E27FC236}">
                  <a16:creationId xmlns:a16="http://schemas.microsoft.com/office/drawing/2014/main" id="{DA9AE84F-C4E5-61FD-A6CE-3A154550F9F5}"/>
                </a:ext>
              </a:extLst>
            </xdr14:cNvPr>
            <xdr14:cNvContentPartPr/>
          </xdr14:nvContentPartPr>
          <xdr14:nvPr macro=""/>
          <xdr14:xfrm>
            <a:off x="8892360" y="868320"/>
            <a:ext cx="360" cy="360"/>
          </xdr14:xfrm>
        </xdr:contentPart>
      </mc:Choice>
      <mc:Fallback xmlns="">
        <xdr:pic>
          <xdr:nvPicPr>
            <xdr:cNvPr id="22" name="Ink 21">
              <a:extLst>
                <a:ext uri="{FF2B5EF4-FFF2-40B4-BE49-F238E27FC236}">
                  <a16:creationId xmlns:a16="http://schemas.microsoft.com/office/drawing/2014/main" id="{DA9AE84F-C4E5-61FD-A6CE-3A154550F9F5}"/>
                </a:ext>
              </a:extLst>
            </xdr:cNvPr>
            <xdr:cNvPicPr/>
          </xdr:nvPicPr>
          <xdr:blipFill>
            <a:blip xmlns:r="http://schemas.openxmlformats.org/officeDocument/2006/relationships" r:embed="rId37"/>
            <a:stretch>
              <a:fillRect/>
            </a:stretch>
          </xdr:blipFill>
          <xdr:spPr>
            <a:xfrm>
              <a:off x="8883720" y="859320"/>
              <a:ext cx="18000" cy="18000"/>
            </a:xfrm>
            <a:prstGeom prst="rect">
              <a:avLst/>
            </a:prstGeom>
          </xdr:spPr>
        </xdr:pic>
      </mc:Fallback>
    </mc:AlternateContent>
    <xdr:clientData/>
  </xdr:twoCellAnchor>
  <xdr:twoCellAnchor editAs="oneCell">
    <xdr:from>
      <xdr:col>11</xdr:col>
      <xdr:colOff>258840</xdr:colOff>
      <xdr:row>4</xdr:row>
      <xdr:rowOff>136800</xdr:rowOff>
    </xdr:from>
    <xdr:to>
      <xdr:col>11</xdr:col>
      <xdr:colOff>259200</xdr:colOff>
      <xdr:row>4</xdr:row>
      <xdr:rowOff>137160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38">
          <xdr14:nvContentPartPr>
            <xdr14:cNvPr id="23" name="Ink 22">
              <a:extLst>
                <a:ext uri="{FF2B5EF4-FFF2-40B4-BE49-F238E27FC236}">
                  <a16:creationId xmlns:a16="http://schemas.microsoft.com/office/drawing/2014/main" id="{0E8D2128-5948-FE87-5594-A2773FBEBC11}"/>
                </a:ext>
              </a:extLst>
            </xdr14:cNvPr>
            <xdr14:cNvContentPartPr/>
          </xdr14:nvContentPartPr>
          <xdr14:nvPr macro=""/>
          <xdr14:xfrm>
            <a:off x="9174240" y="1096920"/>
            <a:ext cx="360" cy="360"/>
          </xdr14:xfrm>
        </xdr:contentPart>
      </mc:Choice>
      <mc:Fallback xmlns="">
        <xdr:pic>
          <xdr:nvPicPr>
            <xdr:cNvPr id="23" name="Ink 22">
              <a:extLst>
                <a:ext uri="{FF2B5EF4-FFF2-40B4-BE49-F238E27FC236}">
                  <a16:creationId xmlns:a16="http://schemas.microsoft.com/office/drawing/2014/main" id="{0E8D2128-5948-FE87-5594-A2773FBEBC11}"/>
                </a:ext>
              </a:extLst>
            </xdr:cNvPr>
            <xdr:cNvPicPr/>
          </xdr:nvPicPr>
          <xdr:blipFill>
            <a:blip xmlns:r="http://schemas.openxmlformats.org/officeDocument/2006/relationships" r:embed="rId39"/>
            <a:stretch>
              <a:fillRect/>
            </a:stretch>
          </xdr:blipFill>
          <xdr:spPr>
            <a:xfrm>
              <a:off x="9165600" y="1087920"/>
              <a:ext cx="18000" cy="18000"/>
            </a:xfrm>
            <a:prstGeom prst="rect">
              <a:avLst/>
            </a:prstGeom>
          </xdr:spPr>
        </xdr:pic>
      </mc:Fallback>
    </mc:AlternateContent>
    <xdr:clientData/>
  </xdr:twoCellAnchor>
  <xdr:twoCellAnchor editAs="oneCell">
    <xdr:from>
      <xdr:col>11</xdr:col>
      <xdr:colOff>441720</xdr:colOff>
      <xdr:row>3</xdr:row>
      <xdr:rowOff>91080</xdr:rowOff>
    </xdr:from>
    <xdr:to>
      <xdr:col>11</xdr:col>
      <xdr:colOff>442080</xdr:colOff>
      <xdr:row>3</xdr:row>
      <xdr:rowOff>91440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40">
          <xdr14:nvContentPartPr>
            <xdr14:cNvPr id="24" name="Ink 23">
              <a:extLst>
                <a:ext uri="{FF2B5EF4-FFF2-40B4-BE49-F238E27FC236}">
                  <a16:creationId xmlns:a16="http://schemas.microsoft.com/office/drawing/2014/main" id="{51BDE09B-AFF3-8B89-B9B3-FE9827BFB4D3}"/>
                </a:ext>
              </a:extLst>
            </xdr14:cNvPr>
            <xdr14:cNvContentPartPr/>
          </xdr14:nvContentPartPr>
          <xdr14:nvPr macro=""/>
          <xdr14:xfrm>
            <a:off x="9357120" y="868320"/>
            <a:ext cx="360" cy="360"/>
          </xdr14:xfrm>
        </xdr:contentPart>
      </mc:Choice>
      <mc:Fallback xmlns="">
        <xdr:pic>
          <xdr:nvPicPr>
            <xdr:cNvPr id="24" name="Ink 23">
              <a:extLst>
                <a:ext uri="{FF2B5EF4-FFF2-40B4-BE49-F238E27FC236}">
                  <a16:creationId xmlns:a16="http://schemas.microsoft.com/office/drawing/2014/main" id="{51BDE09B-AFF3-8B89-B9B3-FE9827BFB4D3}"/>
                </a:ext>
              </a:extLst>
            </xdr:cNvPr>
            <xdr:cNvPicPr/>
          </xdr:nvPicPr>
          <xdr:blipFill>
            <a:blip xmlns:r="http://schemas.openxmlformats.org/officeDocument/2006/relationships" r:embed="rId41"/>
            <a:stretch>
              <a:fillRect/>
            </a:stretch>
          </xdr:blipFill>
          <xdr:spPr>
            <a:xfrm>
              <a:off x="9348480" y="859320"/>
              <a:ext cx="18000" cy="18000"/>
            </a:xfrm>
            <a:prstGeom prst="rect">
              <a:avLst/>
            </a:prstGeom>
          </xdr:spPr>
        </xdr:pic>
      </mc:Fallback>
    </mc:AlternateContent>
    <xdr:clientData/>
  </xdr:twoCellAnchor>
  <xdr:twoCellAnchor editAs="oneCell">
    <xdr:from>
      <xdr:col>0</xdr:col>
      <xdr:colOff>190080</xdr:colOff>
      <xdr:row>3</xdr:row>
      <xdr:rowOff>114120</xdr:rowOff>
    </xdr:from>
    <xdr:to>
      <xdr:col>0</xdr:col>
      <xdr:colOff>190440</xdr:colOff>
      <xdr:row>3</xdr:row>
      <xdr:rowOff>114480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42">
          <xdr14:nvContentPartPr>
            <xdr14:cNvPr id="25" name="Ink 24">
              <a:extLst>
                <a:ext uri="{FF2B5EF4-FFF2-40B4-BE49-F238E27FC236}">
                  <a16:creationId xmlns:a16="http://schemas.microsoft.com/office/drawing/2014/main" id="{7981ECEE-ABD3-F55E-F0EA-86B77142A02E}"/>
                </a:ext>
              </a:extLst>
            </xdr14:cNvPr>
            <xdr14:cNvContentPartPr/>
          </xdr14:nvContentPartPr>
          <xdr14:nvPr macro=""/>
          <xdr14:xfrm>
            <a:off x="190080" y="891360"/>
            <a:ext cx="360" cy="360"/>
          </xdr14:xfrm>
        </xdr:contentPart>
      </mc:Choice>
      <mc:Fallback xmlns="">
        <xdr:pic>
          <xdr:nvPicPr>
            <xdr:cNvPr id="25" name="Ink 24">
              <a:extLst>
                <a:ext uri="{FF2B5EF4-FFF2-40B4-BE49-F238E27FC236}">
                  <a16:creationId xmlns:a16="http://schemas.microsoft.com/office/drawing/2014/main" id="{7981ECEE-ABD3-F55E-F0EA-86B77142A02E}"/>
                </a:ext>
              </a:extLst>
            </xdr:cNvPr>
            <xdr:cNvPicPr/>
          </xdr:nvPicPr>
          <xdr:blipFill>
            <a:blip xmlns:r="http://schemas.openxmlformats.org/officeDocument/2006/relationships" r:embed="rId43"/>
            <a:stretch>
              <a:fillRect/>
            </a:stretch>
          </xdr:blipFill>
          <xdr:spPr>
            <a:xfrm>
              <a:off x="181080" y="882360"/>
              <a:ext cx="18000" cy="18000"/>
            </a:xfrm>
            <a:prstGeom prst="rect">
              <a:avLst/>
            </a:prstGeom>
          </xdr:spPr>
        </xdr:pic>
      </mc:Fallback>
    </mc:AlternateContent>
    <xdr:clientData/>
  </xdr:twoCellAnchor>
  <xdr:twoCellAnchor editAs="oneCell">
    <xdr:from>
      <xdr:col>0</xdr:col>
      <xdr:colOff>372960</xdr:colOff>
      <xdr:row>4</xdr:row>
      <xdr:rowOff>68400</xdr:rowOff>
    </xdr:from>
    <xdr:to>
      <xdr:col>0</xdr:col>
      <xdr:colOff>373320</xdr:colOff>
      <xdr:row>4</xdr:row>
      <xdr:rowOff>68760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44">
          <xdr14:nvContentPartPr>
            <xdr14:cNvPr id="26" name="Ink 25">
              <a:extLst>
                <a:ext uri="{FF2B5EF4-FFF2-40B4-BE49-F238E27FC236}">
                  <a16:creationId xmlns:a16="http://schemas.microsoft.com/office/drawing/2014/main" id="{7852F568-12C1-829C-0BA2-34C7CC762AE4}"/>
                </a:ext>
              </a:extLst>
            </xdr14:cNvPr>
            <xdr14:cNvContentPartPr/>
          </xdr14:nvContentPartPr>
          <xdr14:nvPr macro=""/>
          <xdr14:xfrm>
            <a:off x="372960" y="1028520"/>
            <a:ext cx="360" cy="360"/>
          </xdr14:xfrm>
        </xdr:contentPart>
      </mc:Choice>
      <mc:Fallback xmlns="">
        <xdr:pic>
          <xdr:nvPicPr>
            <xdr:cNvPr id="26" name="Ink 25">
              <a:extLst>
                <a:ext uri="{FF2B5EF4-FFF2-40B4-BE49-F238E27FC236}">
                  <a16:creationId xmlns:a16="http://schemas.microsoft.com/office/drawing/2014/main" id="{7852F568-12C1-829C-0BA2-34C7CC762AE4}"/>
                </a:ext>
              </a:extLst>
            </xdr:cNvPr>
            <xdr:cNvPicPr/>
          </xdr:nvPicPr>
          <xdr:blipFill>
            <a:blip xmlns:r="http://schemas.openxmlformats.org/officeDocument/2006/relationships" r:embed="rId45"/>
            <a:stretch>
              <a:fillRect/>
            </a:stretch>
          </xdr:blipFill>
          <xdr:spPr>
            <a:xfrm>
              <a:off x="364320" y="1019520"/>
              <a:ext cx="18000" cy="18000"/>
            </a:xfrm>
            <a:prstGeom prst="rect">
              <a:avLst/>
            </a:prstGeom>
          </xdr:spPr>
        </xdr:pic>
      </mc:Fallback>
    </mc:AlternateContent>
    <xdr:clientData/>
  </xdr:twoCellAnchor>
  <xdr:twoCellAnchor editAs="oneCell">
    <xdr:from>
      <xdr:col>0</xdr:col>
      <xdr:colOff>609120</xdr:colOff>
      <xdr:row>3</xdr:row>
      <xdr:rowOff>129240</xdr:rowOff>
    </xdr:from>
    <xdr:to>
      <xdr:col>0</xdr:col>
      <xdr:colOff>609480</xdr:colOff>
      <xdr:row>3</xdr:row>
      <xdr:rowOff>129600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46">
          <xdr14:nvContentPartPr>
            <xdr14:cNvPr id="27" name="Ink 26">
              <a:extLst>
                <a:ext uri="{FF2B5EF4-FFF2-40B4-BE49-F238E27FC236}">
                  <a16:creationId xmlns:a16="http://schemas.microsoft.com/office/drawing/2014/main" id="{F40F5B41-7B01-132B-2132-E39C7D34475B}"/>
                </a:ext>
              </a:extLst>
            </xdr14:cNvPr>
            <xdr14:cNvContentPartPr/>
          </xdr14:nvContentPartPr>
          <xdr14:nvPr macro=""/>
          <xdr14:xfrm>
            <a:off x="609120" y="906480"/>
            <a:ext cx="360" cy="360"/>
          </xdr14:xfrm>
        </xdr:contentPart>
      </mc:Choice>
      <mc:Fallback xmlns="">
        <xdr:pic>
          <xdr:nvPicPr>
            <xdr:cNvPr id="27" name="Ink 26">
              <a:extLst>
                <a:ext uri="{FF2B5EF4-FFF2-40B4-BE49-F238E27FC236}">
                  <a16:creationId xmlns:a16="http://schemas.microsoft.com/office/drawing/2014/main" id="{F40F5B41-7B01-132B-2132-E39C7D34475B}"/>
                </a:ext>
              </a:extLst>
            </xdr:cNvPr>
            <xdr:cNvPicPr/>
          </xdr:nvPicPr>
          <xdr:blipFill>
            <a:blip xmlns:r="http://schemas.openxmlformats.org/officeDocument/2006/relationships" r:embed="rId47"/>
            <a:stretch>
              <a:fillRect/>
            </a:stretch>
          </xdr:blipFill>
          <xdr:spPr>
            <a:xfrm>
              <a:off x="600480" y="897480"/>
              <a:ext cx="18000" cy="18000"/>
            </a:xfrm>
            <a:prstGeom prst="rect">
              <a:avLst/>
            </a:prstGeom>
          </xdr:spPr>
        </xdr:pic>
      </mc:Fallback>
    </mc:AlternateContent>
    <xdr:clientData/>
  </xdr:twoCellAnchor>
  <xdr:twoCellAnchor editAs="oneCell">
    <xdr:from>
      <xdr:col>1</xdr:col>
      <xdr:colOff>98880</xdr:colOff>
      <xdr:row>4</xdr:row>
      <xdr:rowOff>98640</xdr:rowOff>
    </xdr:from>
    <xdr:to>
      <xdr:col>1</xdr:col>
      <xdr:colOff>99240</xdr:colOff>
      <xdr:row>4</xdr:row>
      <xdr:rowOff>99000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48">
          <xdr14:nvContentPartPr>
            <xdr14:cNvPr id="28" name="Ink 27">
              <a:extLst>
                <a:ext uri="{FF2B5EF4-FFF2-40B4-BE49-F238E27FC236}">
                  <a16:creationId xmlns:a16="http://schemas.microsoft.com/office/drawing/2014/main" id="{56F35C4E-7F12-9005-CA22-24EDE569827B}"/>
                </a:ext>
              </a:extLst>
            </xdr14:cNvPr>
            <xdr14:cNvContentPartPr/>
          </xdr14:nvContentPartPr>
          <xdr14:nvPr macro=""/>
          <xdr14:xfrm>
            <a:off x="708480" y="1058760"/>
            <a:ext cx="360" cy="360"/>
          </xdr14:xfrm>
        </xdr:contentPart>
      </mc:Choice>
      <mc:Fallback xmlns="">
        <xdr:pic>
          <xdr:nvPicPr>
            <xdr:cNvPr id="28" name="Ink 27">
              <a:extLst>
                <a:ext uri="{FF2B5EF4-FFF2-40B4-BE49-F238E27FC236}">
                  <a16:creationId xmlns:a16="http://schemas.microsoft.com/office/drawing/2014/main" id="{56F35C4E-7F12-9005-CA22-24EDE569827B}"/>
                </a:ext>
              </a:extLst>
            </xdr:cNvPr>
            <xdr:cNvPicPr/>
          </xdr:nvPicPr>
          <xdr:blipFill>
            <a:blip xmlns:r="http://schemas.openxmlformats.org/officeDocument/2006/relationships" r:embed="rId49"/>
            <a:stretch>
              <a:fillRect/>
            </a:stretch>
          </xdr:blipFill>
          <xdr:spPr>
            <a:xfrm>
              <a:off x="699840" y="1049760"/>
              <a:ext cx="18000" cy="18000"/>
            </a:xfrm>
            <a:prstGeom prst="rect">
              <a:avLst/>
            </a:prstGeom>
          </xdr:spPr>
        </xdr:pic>
      </mc:Fallback>
    </mc:AlternateContent>
    <xdr:clientData/>
  </xdr:twoCellAnchor>
  <xdr:twoCellAnchor editAs="oneCell">
    <xdr:from>
      <xdr:col>1</xdr:col>
      <xdr:colOff>319560</xdr:colOff>
      <xdr:row>3</xdr:row>
      <xdr:rowOff>121680</xdr:rowOff>
    </xdr:from>
    <xdr:to>
      <xdr:col>1</xdr:col>
      <xdr:colOff>319920</xdr:colOff>
      <xdr:row>3</xdr:row>
      <xdr:rowOff>122040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50">
          <xdr14:nvContentPartPr>
            <xdr14:cNvPr id="29" name="Ink 28">
              <a:extLst>
                <a:ext uri="{FF2B5EF4-FFF2-40B4-BE49-F238E27FC236}">
                  <a16:creationId xmlns:a16="http://schemas.microsoft.com/office/drawing/2014/main" id="{D82F2F02-D9B1-E540-8CF8-70CDC3FBB966}"/>
                </a:ext>
              </a:extLst>
            </xdr14:cNvPr>
            <xdr14:cNvContentPartPr/>
          </xdr14:nvContentPartPr>
          <xdr14:nvPr macro=""/>
          <xdr14:xfrm>
            <a:off x="929160" y="898920"/>
            <a:ext cx="360" cy="360"/>
          </xdr14:xfrm>
        </xdr:contentPart>
      </mc:Choice>
      <mc:Fallback xmlns="">
        <xdr:pic>
          <xdr:nvPicPr>
            <xdr:cNvPr id="29" name="Ink 28">
              <a:extLst>
                <a:ext uri="{FF2B5EF4-FFF2-40B4-BE49-F238E27FC236}">
                  <a16:creationId xmlns:a16="http://schemas.microsoft.com/office/drawing/2014/main" id="{D82F2F02-D9B1-E540-8CF8-70CDC3FBB966}"/>
                </a:ext>
              </a:extLst>
            </xdr:cNvPr>
            <xdr:cNvPicPr/>
          </xdr:nvPicPr>
          <xdr:blipFill>
            <a:blip xmlns:r="http://schemas.openxmlformats.org/officeDocument/2006/relationships" r:embed="rId51"/>
            <a:stretch>
              <a:fillRect/>
            </a:stretch>
          </xdr:blipFill>
          <xdr:spPr>
            <a:xfrm>
              <a:off x="920520" y="889920"/>
              <a:ext cx="18000" cy="18000"/>
            </a:xfrm>
            <a:prstGeom prst="rect">
              <a:avLst/>
            </a:prstGeom>
          </xdr:spPr>
        </xdr:pic>
      </mc:Fallback>
    </mc:AlternateContent>
    <xdr:clientData/>
  </xdr:twoCellAnchor>
  <xdr:twoCellAnchor editAs="oneCell">
    <xdr:from>
      <xdr:col>1</xdr:col>
      <xdr:colOff>685320</xdr:colOff>
      <xdr:row>3</xdr:row>
      <xdr:rowOff>114120</xdr:rowOff>
    </xdr:from>
    <xdr:to>
      <xdr:col>1</xdr:col>
      <xdr:colOff>685680</xdr:colOff>
      <xdr:row>3</xdr:row>
      <xdr:rowOff>114480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52">
          <xdr14:nvContentPartPr>
            <xdr14:cNvPr id="30" name="Ink 29">
              <a:extLst>
                <a:ext uri="{FF2B5EF4-FFF2-40B4-BE49-F238E27FC236}">
                  <a16:creationId xmlns:a16="http://schemas.microsoft.com/office/drawing/2014/main" id="{E8A37FAC-1C63-1B19-1605-826EEC60AEC4}"/>
                </a:ext>
              </a:extLst>
            </xdr14:cNvPr>
            <xdr14:cNvContentPartPr/>
          </xdr14:nvContentPartPr>
          <xdr14:nvPr macro=""/>
          <xdr14:xfrm>
            <a:off x="1294920" y="891360"/>
            <a:ext cx="360" cy="360"/>
          </xdr14:xfrm>
        </xdr:contentPart>
      </mc:Choice>
      <mc:Fallback xmlns="">
        <xdr:pic>
          <xdr:nvPicPr>
            <xdr:cNvPr id="30" name="Ink 29">
              <a:extLst>
                <a:ext uri="{FF2B5EF4-FFF2-40B4-BE49-F238E27FC236}">
                  <a16:creationId xmlns:a16="http://schemas.microsoft.com/office/drawing/2014/main" id="{E8A37FAC-1C63-1B19-1605-826EEC60AEC4}"/>
                </a:ext>
              </a:extLst>
            </xdr:cNvPr>
            <xdr:cNvPicPr/>
          </xdr:nvPicPr>
          <xdr:blipFill>
            <a:blip xmlns:r="http://schemas.openxmlformats.org/officeDocument/2006/relationships" r:embed="rId53"/>
            <a:stretch>
              <a:fillRect/>
            </a:stretch>
          </xdr:blipFill>
          <xdr:spPr>
            <a:xfrm>
              <a:off x="1286280" y="882360"/>
              <a:ext cx="18000" cy="18000"/>
            </a:xfrm>
            <a:prstGeom prst="rect">
              <a:avLst/>
            </a:prstGeom>
          </xdr:spPr>
        </xdr:pic>
      </mc:Fallback>
    </mc:AlternateContent>
    <xdr:clientData/>
  </xdr:twoCellAnchor>
  <xdr:twoCellAnchor editAs="oneCell">
    <xdr:from>
      <xdr:col>1</xdr:col>
      <xdr:colOff>1150440</xdr:colOff>
      <xdr:row>3</xdr:row>
      <xdr:rowOff>129240</xdr:rowOff>
    </xdr:from>
    <xdr:to>
      <xdr:col>1</xdr:col>
      <xdr:colOff>1150800</xdr:colOff>
      <xdr:row>3</xdr:row>
      <xdr:rowOff>129600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54">
          <xdr14:nvContentPartPr>
            <xdr14:cNvPr id="31" name="Ink 30">
              <a:extLst>
                <a:ext uri="{FF2B5EF4-FFF2-40B4-BE49-F238E27FC236}">
                  <a16:creationId xmlns:a16="http://schemas.microsoft.com/office/drawing/2014/main" id="{60AF6481-E7D4-2B56-9C1D-3F25699B4AE1}"/>
                </a:ext>
              </a:extLst>
            </xdr14:cNvPr>
            <xdr14:cNvContentPartPr/>
          </xdr14:nvContentPartPr>
          <xdr14:nvPr macro=""/>
          <xdr14:xfrm>
            <a:off x="1760040" y="906480"/>
            <a:ext cx="360" cy="360"/>
          </xdr14:xfrm>
        </xdr:contentPart>
      </mc:Choice>
      <mc:Fallback xmlns="">
        <xdr:pic>
          <xdr:nvPicPr>
            <xdr:cNvPr id="31" name="Ink 30">
              <a:extLst>
                <a:ext uri="{FF2B5EF4-FFF2-40B4-BE49-F238E27FC236}">
                  <a16:creationId xmlns:a16="http://schemas.microsoft.com/office/drawing/2014/main" id="{60AF6481-E7D4-2B56-9C1D-3F25699B4AE1}"/>
                </a:ext>
              </a:extLst>
            </xdr:cNvPr>
            <xdr:cNvPicPr/>
          </xdr:nvPicPr>
          <xdr:blipFill>
            <a:blip xmlns:r="http://schemas.openxmlformats.org/officeDocument/2006/relationships" r:embed="rId55"/>
            <a:stretch>
              <a:fillRect/>
            </a:stretch>
          </xdr:blipFill>
          <xdr:spPr>
            <a:xfrm>
              <a:off x="1751400" y="897480"/>
              <a:ext cx="18000" cy="18000"/>
            </a:xfrm>
            <a:prstGeom prst="rect">
              <a:avLst/>
            </a:prstGeom>
          </xdr:spPr>
        </xdr:pic>
      </mc:Fallback>
    </mc:AlternateContent>
    <xdr:clientData/>
  </xdr:twoCellAnchor>
  <xdr:twoCellAnchor editAs="oneCell">
    <xdr:from>
      <xdr:col>2</xdr:col>
      <xdr:colOff>53160</xdr:colOff>
      <xdr:row>3</xdr:row>
      <xdr:rowOff>114120</xdr:rowOff>
    </xdr:from>
    <xdr:to>
      <xdr:col>2</xdr:col>
      <xdr:colOff>53520</xdr:colOff>
      <xdr:row>3</xdr:row>
      <xdr:rowOff>114480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56">
          <xdr14:nvContentPartPr>
            <xdr14:cNvPr id="32" name="Ink 31">
              <a:extLst>
                <a:ext uri="{FF2B5EF4-FFF2-40B4-BE49-F238E27FC236}">
                  <a16:creationId xmlns:a16="http://schemas.microsoft.com/office/drawing/2014/main" id="{DAFB7DE3-9338-BAC7-5876-34B5A5DEBB76}"/>
                </a:ext>
              </a:extLst>
            </xdr14:cNvPr>
            <xdr14:cNvContentPartPr/>
          </xdr14:nvContentPartPr>
          <xdr14:nvPr macro=""/>
          <xdr14:xfrm>
            <a:off x="2080080" y="891360"/>
            <a:ext cx="360" cy="360"/>
          </xdr14:xfrm>
        </xdr:contentPart>
      </mc:Choice>
      <mc:Fallback xmlns="">
        <xdr:pic>
          <xdr:nvPicPr>
            <xdr:cNvPr id="32" name="Ink 31">
              <a:extLst>
                <a:ext uri="{FF2B5EF4-FFF2-40B4-BE49-F238E27FC236}">
                  <a16:creationId xmlns:a16="http://schemas.microsoft.com/office/drawing/2014/main" id="{DAFB7DE3-9338-BAC7-5876-34B5A5DEBB76}"/>
                </a:ext>
              </a:extLst>
            </xdr:cNvPr>
            <xdr:cNvPicPr/>
          </xdr:nvPicPr>
          <xdr:blipFill>
            <a:blip xmlns:r="http://schemas.openxmlformats.org/officeDocument/2006/relationships" r:embed="rId57"/>
            <a:stretch>
              <a:fillRect/>
            </a:stretch>
          </xdr:blipFill>
          <xdr:spPr>
            <a:xfrm>
              <a:off x="2071440" y="882360"/>
              <a:ext cx="18000" cy="18000"/>
            </a:xfrm>
            <a:prstGeom prst="rect">
              <a:avLst/>
            </a:prstGeom>
          </xdr:spPr>
        </xdr:pic>
      </mc:Fallback>
    </mc:AlternateContent>
    <xdr:clientData/>
  </xdr:twoCellAnchor>
  <xdr:twoCellAnchor editAs="oneCell">
    <xdr:from>
      <xdr:col>2</xdr:col>
      <xdr:colOff>350160</xdr:colOff>
      <xdr:row>3</xdr:row>
      <xdr:rowOff>144360</xdr:rowOff>
    </xdr:from>
    <xdr:to>
      <xdr:col>2</xdr:col>
      <xdr:colOff>350520</xdr:colOff>
      <xdr:row>3</xdr:row>
      <xdr:rowOff>144720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58">
          <xdr14:nvContentPartPr>
            <xdr14:cNvPr id="33" name="Ink 32">
              <a:extLst>
                <a:ext uri="{FF2B5EF4-FFF2-40B4-BE49-F238E27FC236}">
                  <a16:creationId xmlns:a16="http://schemas.microsoft.com/office/drawing/2014/main" id="{6E186FF4-FD92-B63B-3563-67683A0CCC0F}"/>
                </a:ext>
              </a:extLst>
            </xdr14:cNvPr>
            <xdr14:cNvContentPartPr/>
          </xdr14:nvContentPartPr>
          <xdr14:nvPr macro=""/>
          <xdr14:xfrm>
            <a:off x="2377080" y="921600"/>
            <a:ext cx="360" cy="360"/>
          </xdr14:xfrm>
        </xdr:contentPart>
      </mc:Choice>
      <mc:Fallback xmlns="">
        <xdr:pic>
          <xdr:nvPicPr>
            <xdr:cNvPr id="33" name="Ink 32">
              <a:extLst>
                <a:ext uri="{FF2B5EF4-FFF2-40B4-BE49-F238E27FC236}">
                  <a16:creationId xmlns:a16="http://schemas.microsoft.com/office/drawing/2014/main" id="{6E186FF4-FD92-B63B-3563-67683A0CCC0F}"/>
                </a:ext>
              </a:extLst>
            </xdr:cNvPr>
            <xdr:cNvPicPr/>
          </xdr:nvPicPr>
          <xdr:blipFill>
            <a:blip xmlns:r="http://schemas.openxmlformats.org/officeDocument/2006/relationships" r:embed="rId59"/>
            <a:stretch>
              <a:fillRect/>
            </a:stretch>
          </xdr:blipFill>
          <xdr:spPr>
            <a:xfrm>
              <a:off x="2368440" y="912600"/>
              <a:ext cx="18000" cy="18000"/>
            </a:xfrm>
            <a:prstGeom prst="rect">
              <a:avLst/>
            </a:prstGeom>
          </xdr:spPr>
        </xdr:pic>
      </mc:Fallback>
    </mc:AlternateContent>
    <xdr:clientData/>
  </xdr:twoCellAnchor>
  <xdr:twoCellAnchor editAs="oneCell">
    <xdr:from>
      <xdr:col>2</xdr:col>
      <xdr:colOff>578760</xdr:colOff>
      <xdr:row>4</xdr:row>
      <xdr:rowOff>106560</xdr:rowOff>
    </xdr:from>
    <xdr:to>
      <xdr:col>2</xdr:col>
      <xdr:colOff>579120</xdr:colOff>
      <xdr:row>4</xdr:row>
      <xdr:rowOff>106920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0">
          <xdr14:nvContentPartPr>
            <xdr14:cNvPr id="34" name="Ink 33">
              <a:extLst>
                <a:ext uri="{FF2B5EF4-FFF2-40B4-BE49-F238E27FC236}">
                  <a16:creationId xmlns:a16="http://schemas.microsoft.com/office/drawing/2014/main" id="{389302F7-EB2C-0877-0FB2-1D6E4130203E}"/>
                </a:ext>
              </a:extLst>
            </xdr14:cNvPr>
            <xdr14:cNvContentPartPr/>
          </xdr14:nvContentPartPr>
          <xdr14:nvPr macro=""/>
          <xdr14:xfrm>
            <a:off x="2605680" y="1066680"/>
            <a:ext cx="360" cy="360"/>
          </xdr14:xfrm>
        </xdr:contentPart>
      </mc:Choice>
      <mc:Fallback xmlns="">
        <xdr:pic>
          <xdr:nvPicPr>
            <xdr:cNvPr id="34" name="Ink 33">
              <a:extLst>
                <a:ext uri="{FF2B5EF4-FFF2-40B4-BE49-F238E27FC236}">
                  <a16:creationId xmlns:a16="http://schemas.microsoft.com/office/drawing/2014/main" id="{389302F7-EB2C-0877-0FB2-1D6E4130203E}"/>
                </a:ext>
              </a:extLst>
            </xdr:cNvPr>
            <xdr:cNvPicPr/>
          </xdr:nvPicPr>
          <xdr:blipFill>
            <a:blip xmlns:r="http://schemas.openxmlformats.org/officeDocument/2006/relationships" r:embed="rId61"/>
            <a:stretch>
              <a:fillRect/>
            </a:stretch>
          </xdr:blipFill>
          <xdr:spPr>
            <a:xfrm>
              <a:off x="2597040" y="1057680"/>
              <a:ext cx="18000" cy="18000"/>
            </a:xfrm>
            <a:prstGeom prst="rect">
              <a:avLst/>
            </a:prstGeom>
          </xdr:spPr>
        </xdr:pic>
      </mc:Fallback>
    </mc:AlternateContent>
    <xdr:clientData/>
  </xdr:twoCellAnchor>
  <xdr:twoCellAnchor editAs="oneCell">
    <xdr:from>
      <xdr:col>2</xdr:col>
      <xdr:colOff>776760</xdr:colOff>
      <xdr:row>3</xdr:row>
      <xdr:rowOff>144360</xdr:rowOff>
    </xdr:from>
    <xdr:to>
      <xdr:col>2</xdr:col>
      <xdr:colOff>777120</xdr:colOff>
      <xdr:row>3</xdr:row>
      <xdr:rowOff>144720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2">
          <xdr14:nvContentPartPr>
            <xdr14:cNvPr id="35" name="Ink 34">
              <a:extLst>
                <a:ext uri="{FF2B5EF4-FFF2-40B4-BE49-F238E27FC236}">
                  <a16:creationId xmlns:a16="http://schemas.microsoft.com/office/drawing/2014/main" id="{7C1D1B35-8F9F-66D8-1EE2-E95E7C2ED457}"/>
                </a:ext>
              </a:extLst>
            </xdr14:cNvPr>
            <xdr14:cNvContentPartPr/>
          </xdr14:nvContentPartPr>
          <xdr14:nvPr macro=""/>
          <xdr14:xfrm>
            <a:off x="2803680" y="921600"/>
            <a:ext cx="360" cy="360"/>
          </xdr14:xfrm>
        </xdr:contentPart>
      </mc:Choice>
      <mc:Fallback xmlns="">
        <xdr:pic>
          <xdr:nvPicPr>
            <xdr:cNvPr id="35" name="Ink 34">
              <a:extLst>
                <a:ext uri="{FF2B5EF4-FFF2-40B4-BE49-F238E27FC236}">
                  <a16:creationId xmlns:a16="http://schemas.microsoft.com/office/drawing/2014/main" id="{7C1D1B35-8F9F-66D8-1EE2-E95E7C2ED457}"/>
                </a:ext>
              </a:extLst>
            </xdr:cNvPr>
            <xdr:cNvPicPr/>
          </xdr:nvPicPr>
          <xdr:blipFill>
            <a:blip xmlns:r="http://schemas.openxmlformats.org/officeDocument/2006/relationships" r:embed="rId63"/>
            <a:stretch>
              <a:fillRect/>
            </a:stretch>
          </xdr:blipFill>
          <xdr:spPr>
            <a:xfrm>
              <a:off x="2795040" y="912600"/>
              <a:ext cx="18000" cy="18000"/>
            </a:xfrm>
            <a:prstGeom prst="rect">
              <a:avLst/>
            </a:prstGeom>
          </xdr:spPr>
        </xdr:pic>
      </mc:Fallback>
    </mc:AlternateContent>
    <xdr:clientData/>
  </xdr:twoCellAnchor>
  <xdr:twoCellAnchor editAs="oneCell">
    <xdr:from>
      <xdr:col>2</xdr:col>
      <xdr:colOff>1059000</xdr:colOff>
      <xdr:row>3</xdr:row>
      <xdr:rowOff>121680</xdr:rowOff>
    </xdr:from>
    <xdr:to>
      <xdr:col>2</xdr:col>
      <xdr:colOff>1059360</xdr:colOff>
      <xdr:row>3</xdr:row>
      <xdr:rowOff>122040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4">
          <xdr14:nvContentPartPr>
            <xdr14:cNvPr id="36" name="Ink 35">
              <a:extLst>
                <a:ext uri="{FF2B5EF4-FFF2-40B4-BE49-F238E27FC236}">
                  <a16:creationId xmlns:a16="http://schemas.microsoft.com/office/drawing/2014/main" id="{0A619B77-AB4D-AA14-B392-19E7BBF29FCC}"/>
                </a:ext>
              </a:extLst>
            </xdr14:cNvPr>
            <xdr14:cNvContentPartPr/>
          </xdr14:nvContentPartPr>
          <xdr14:nvPr macro=""/>
          <xdr14:xfrm>
            <a:off x="3085920" y="898920"/>
            <a:ext cx="360" cy="360"/>
          </xdr14:xfrm>
        </xdr:contentPart>
      </mc:Choice>
      <mc:Fallback xmlns="">
        <xdr:pic>
          <xdr:nvPicPr>
            <xdr:cNvPr id="36" name="Ink 35">
              <a:extLst>
                <a:ext uri="{FF2B5EF4-FFF2-40B4-BE49-F238E27FC236}">
                  <a16:creationId xmlns:a16="http://schemas.microsoft.com/office/drawing/2014/main" id="{0A619B77-AB4D-AA14-B392-19E7BBF29FCC}"/>
                </a:ext>
              </a:extLst>
            </xdr:cNvPr>
            <xdr:cNvPicPr/>
          </xdr:nvPicPr>
          <xdr:blipFill>
            <a:blip xmlns:r="http://schemas.openxmlformats.org/officeDocument/2006/relationships" r:embed="rId65"/>
            <a:stretch>
              <a:fillRect/>
            </a:stretch>
          </xdr:blipFill>
          <xdr:spPr>
            <a:xfrm>
              <a:off x="3077280" y="889920"/>
              <a:ext cx="18000" cy="18000"/>
            </a:xfrm>
            <a:prstGeom prst="rect">
              <a:avLst/>
            </a:prstGeom>
          </xdr:spPr>
        </xdr:pic>
      </mc:Fallback>
    </mc:AlternateContent>
    <xdr:clientData/>
  </xdr:twoCellAnchor>
  <xdr:twoCellAnchor editAs="oneCell">
    <xdr:from>
      <xdr:col>2</xdr:col>
      <xdr:colOff>1203720</xdr:colOff>
      <xdr:row>4</xdr:row>
      <xdr:rowOff>83520</xdr:rowOff>
    </xdr:from>
    <xdr:to>
      <xdr:col>2</xdr:col>
      <xdr:colOff>1204080</xdr:colOff>
      <xdr:row>4</xdr:row>
      <xdr:rowOff>83880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6">
          <xdr14:nvContentPartPr>
            <xdr14:cNvPr id="37" name="Ink 36">
              <a:extLst>
                <a:ext uri="{FF2B5EF4-FFF2-40B4-BE49-F238E27FC236}">
                  <a16:creationId xmlns:a16="http://schemas.microsoft.com/office/drawing/2014/main" id="{3099EEFC-C100-DBEE-54B1-52BDCB1AE033}"/>
                </a:ext>
              </a:extLst>
            </xdr14:cNvPr>
            <xdr14:cNvContentPartPr/>
          </xdr14:nvContentPartPr>
          <xdr14:nvPr macro=""/>
          <xdr14:xfrm>
            <a:off x="3230640" y="1043640"/>
            <a:ext cx="360" cy="360"/>
          </xdr14:xfrm>
        </xdr:contentPart>
      </mc:Choice>
      <mc:Fallback xmlns="">
        <xdr:pic>
          <xdr:nvPicPr>
            <xdr:cNvPr id="37" name="Ink 36">
              <a:extLst>
                <a:ext uri="{FF2B5EF4-FFF2-40B4-BE49-F238E27FC236}">
                  <a16:creationId xmlns:a16="http://schemas.microsoft.com/office/drawing/2014/main" id="{3099EEFC-C100-DBEE-54B1-52BDCB1AE033}"/>
                </a:ext>
              </a:extLst>
            </xdr:cNvPr>
            <xdr:cNvPicPr/>
          </xdr:nvPicPr>
          <xdr:blipFill>
            <a:blip xmlns:r="http://schemas.openxmlformats.org/officeDocument/2006/relationships" r:embed="rId67"/>
            <a:stretch>
              <a:fillRect/>
            </a:stretch>
          </xdr:blipFill>
          <xdr:spPr>
            <a:xfrm>
              <a:off x="3222000" y="1034640"/>
              <a:ext cx="18000" cy="18000"/>
            </a:xfrm>
            <a:prstGeom prst="rect">
              <a:avLst/>
            </a:prstGeom>
          </xdr:spPr>
        </xdr:pic>
      </mc:Fallback>
    </mc:AlternateContent>
    <xdr:clientData/>
  </xdr:twoCellAnchor>
  <xdr:twoCellAnchor editAs="oneCell">
    <xdr:from>
      <xdr:col>2</xdr:col>
      <xdr:colOff>1264560</xdr:colOff>
      <xdr:row>3</xdr:row>
      <xdr:rowOff>37800</xdr:rowOff>
    </xdr:from>
    <xdr:to>
      <xdr:col>2</xdr:col>
      <xdr:colOff>1264920</xdr:colOff>
      <xdr:row>3</xdr:row>
      <xdr:rowOff>38160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68">
          <xdr14:nvContentPartPr>
            <xdr14:cNvPr id="38" name="Ink 37">
              <a:extLst>
                <a:ext uri="{FF2B5EF4-FFF2-40B4-BE49-F238E27FC236}">
                  <a16:creationId xmlns:a16="http://schemas.microsoft.com/office/drawing/2014/main" id="{ECFB8635-F524-EC16-36E7-D223BCF8F5E1}"/>
                </a:ext>
              </a:extLst>
            </xdr14:cNvPr>
            <xdr14:cNvContentPartPr/>
          </xdr14:nvContentPartPr>
          <xdr14:nvPr macro=""/>
          <xdr14:xfrm>
            <a:off x="3291480" y="815040"/>
            <a:ext cx="360" cy="360"/>
          </xdr14:xfrm>
        </xdr:contentPart>
      </mc:Choice>
      <mc:Fallback xmlns="">
        <xdr:pic>
          <xdr:nvPicPr>
            <xdr:cNvPr id="38" name="Ink 37">
              <a:extLst>
                <a:ext uri="{FF2B5EF4-FFF2-40B4-BE49-F238E27FC236}">
                  <a16:creationId xmlns:a16="http://schemas.microsoft.com/office/drawing/2014/main" id="{ECFB8635-F524-EC16-36E7-D223BCF8F5E1}"/>
                </a:ext>
              </a:extLst>
            </xdr:cNvPr>
            <xdr:cNvPicPr/>
          </xdr:nvPicPr>
          <xdr:blipFill>
            <a:blip xmlns:r="http://schemas.openxmlformats.org/officeDocument/2006/relationships" r:embed="rId69"/>
            <a:stretch>
              <a:fillRect/>
            </a:stretch>
          </xdr:blipFill>
          <xdr:spPr>
            <a:xfrm>
              <a:off x="3282840" y="806040"/>
              <a:ext cx="18000" cy="18000"/>
            </a:xfrm>
            <a:prstGeom prst="rect">
              <a:avLst/>
            </a:prstGeom>
          </xdr:spPr>
        </xdr:pic>
      </mc:Fallback>
    </mc:AlternateContent>
    <xdr:clientData/>
  </xdr:twoCellAnchor>
  <xdr:twoCellAnchor editAs="oneCell">
    <xdr:from>
      <xdr:col>13</xdr:col>
      <xdr:colOff>327420</xdr:colOff>
      <xdr:row>3</xdr:row>
      <xdr:rowOff>182520</xdr:rowOff>
    </xdr:from>
    <xdr:to>
      <xdr:col>13</xdr:col>
      <xdr:colOff>327780</xdr:colOff>
      <xdr:row>4</xdr:row>
      <xdr:rowOff>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70">
          <xdr14:nvContentPartPr>
            <xdr14:cNvPr id="48" name="Ink 47">
              <a:extLst>
                <a:ext uri="{FF2B5EF4-FFF2-40B4-BE49-F238E27FC236}">
                  <a16:creationId xmlns:a16="http://schemas.microsoft.com/office/drawing/2014/main" id="{01159297-D79F-F34E-B156-1A24598530BF}"/>
                </a:ext>
              </a:extLst>
            </xdr14:cNvPr>
            <xdr14:cNvContentPartPr/>
          </xdr14:nvContentPartPr>
          <xdr14:nvPr macro=""/>
          <xdr14:xfrm>
            <a:off x="10591560" y="959760"/>
            <a:ext cx="360" cy="360"/>
          </xdr14:xfrm>
        </xdr:contentPart>
      </mc:Choice>
      <mc:Fallback xmlns="">
        <xdr:pic>
          <xdr:nvPicPr>
            <xdr:cNvPr id="48" name="Ink 47">
              <a:extLst>
                <a:ext uri="{FF2B5EF4-FFF2-40B4-BE49-F238E27FC236}">
                  <a16:creationId xmlns:a16="http://schemas.microsoft.com/office/drawing/2014/main" id="{01159297-D79F-F34E-B156-1A24598530BF}"/>
                </a:ext>
              </a:extLst>
            </xdr:cNvPr>
            <xdr:cNvPicPr/>
          </xdr:nvPicPr>
          <xdr:blipFill>
            <a:blip xmlns:r="http://schemas.openxmlformats.org/officeDocument/2006/relationships" r:embed="rId71"/>
            <a:stretch>
              <a:fillRect/>
            </a:stretch>
          </xdr:blipFill>
          <xdr:spPr>
            <a:xfrm>
              <a:off x="10582920" y="950760"/>
              <a:ext cx="18000" cy="18000"/>
            </a:xfrm>
            <a:prstGeom prst="rect">
              <a:avLst/>
            </a:prstGeom>
          </xdr:spPr>
        </xdr:pic>
      </mc:Fallback>
    </mc:AlternateContent>
    <xdr:clientData/>
  </xdr:twoCellAnchor>
  <xdr:twoCellAnchor editAs="oneCell">
    <xdr:from>
      <xdr:col>13</xdr:col>
      <xdr:colOff>639900</xdr:colOff>
      <xdr:row>3</xdr:row>
      <xdr:rowOff>136800</xdr:rowOff>
    </xdr:from>
    <xdr:to>
      <xdr:col>13</xdr:col>
      <xdr:colOff>640260</xdr:colOff>
      <xdr:row>3</xdr:row>
      <xdr:rowOff>137160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72">
          <xdr14:nvContentPartPr>
            <xdr14:cNvPr id="49" name="Ink 48">
              <a:extLst>
                <a:ext uri="{FF2B5EF4-FFF2-40B4-BE49-F238E27FC236}">
                  <a16:creationId xmlns:a16="http://schemas.microsoft.com/office/drawing/2014/main" id="{A8C4887F-0F13-834B-724A-CE9374C6848B}"/>
                </a:ext>
              </a:extLst>
            </xdr14:cNvPr>
            <xdr14:cNvContentPartPr/>
          </xdr14:nvContentPartPr>
          <xdr14:nvPr macro=""/>
          <xdr14:xfrm>
            <a:off x="10904040" y="914040"/>
            <a:ext cx="360" cy="360"/>
          </xdr14:xfrm>
        </xdr:contentPart>
      </mc:Choice>
      <mc:Fallback xmlns="">
        <xdr:pic>
          <xdr:nvPicPr>
            <xdr:cNvPr id="49" name="Ink 48">
              <a:extLst>
                <a:ext uri="{FF2B5EF4-FFF2-40B4-BE49-F238E27FC236}">
                  <a16:creationId xmlns:a16="http://schemas.microsoft.com/office/drawing/2014/main" id="{A8C4887F-0F13-834B-724A-CE9374C6848B}"/>
                </a:ext>
              </a:extLst>
            </xdr:cNvPr>
            <xdr:cNvPicPr/>
          </xdr:nvPicPr>
          <xdr:blipFill>
            <a:blip xmlns:r="http://schemas.openxmlformats.org/officeDocument/2006/relationships" r:embed="rId73"/>
            <a:stretch>
              <a:fillRect/>
            </a:stretch>
          </xdr:blipFill>
          <xdr:spPr>
            <a:xfrm>
              <a:off x="10895400" y="905040"/>
              <a:ext cx="18000" cy="18000"/>
            </a:xfrm>
            <a:prstGeom prst="rect">
              <a:avLst/>
            </a:prstGeom>
          </xdr:spPr>
        </xdr:pic>
      </mc:Fallback>
    </mc:AlternateContent>
    <xdr:clientData/>
  </xdr:twoCellAnchor>
  <xdr:twoCellAnchor editAs="oneCell">
    <xdr:from>
      <xdr:col>13</xdr:col>
      <xdr:colOff>777060</xdr:colOff>
      <xdr:row>4</xdr:row>
      <xdr:rowOff>144720</xdr:rowOff>
    </xdr:from>
    <xdr:to>
      <xdr:col>13</xdr:col>
      <xdr:colOff>777420</xdr:colOff>
      <xdr:row>4</xdr:row>
      <xdr:rowOff>145080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74">
          <xdr14:nvContentPartPr>
            <xdr14:cNvPr id="50" name="Ink 49">
              <a:extLst>
                <a:ext uri="{FF2B5EF4-FFF2-40B4-BE49-F238E27FC236}">
                  <a16:creationId xmlns:a16="http://schemas.microsoft.com/office/drawing/2014/main" id="{9576DE8C-AAD8-1A60-7F50-29C1138D5FDA}"/>
                </a:ext>
              </a:extLst>
            </xdr14:cNvPr>
            <xdr14:cNvContentPartPr/>
          </xdr14:nvContentPartPr>
          <xdr14:nvPr macro=""/>
          <xdr14:xfrm>
            <a:off x="11041200" y="1104840"/>
            <a:ext cx="360" cy="360"/>
          </xdr14:xfrm>
        </xdr:contentPart>
      </mc:Choice>
      <mc:Fallback xmlns="">
        <xdr:pic>
          <xdr:nvPicPr>
            <xdr:cNvPr id="50" name="Ink 49">
              <a:extLst>
                <a:ext uri="{FF2B5EF4-FFF2-40B4-BE49-F238E27FC236}">
                  <a16:creationId xmlns:a16="http://schemas.microsoft.com/office/drawing/2014/main" id="{9576DE8C-AAD8-1A60-7F50-29C1138D5FDA}"/>
                </a:ext>
              </a:extLst>
            </xdr:cNvPr>
            <xdr:cNvPicPr/>
          </xdr:nvPicPr>
          <xdr:blipFill>
            <a:blip xmlns:r="http://schemas.openxmlformats.org/officeDocument/2006/relationships" r:embed="rId75"/>
            <a:stretch>
              <a:fillRect/>
            </a:stretch>
          </xdr:blipFill>
          <xdr:spPr>
            <a:xfrm>
              <a:off x="11032560" y="1095840"/>
              <a:ext cx="18000" cy="18000"/>
            </a:xfrm>
            <a:prstGeom prst="rect">
              <a:avLst/>
            </a:prstGeom>
          </xdr:spPr>
        </xdr:pic>
      </mc:Fallback>
    </mc:AlternateContent>
    <xdr:clientData/>
  </xdr:twoCellAnchor>
  <xdr:twoCellAnchor editAs="oneCell">
    <xdr:from>
      <xdr:col>13</xdr:col>
      <xdr:colOff>1157940</xdr:colOff>
      <xdr:row>3</xdr:row>
      <xdr:rowOff>53280</xdr:rowOff>
    </xdr:from>
    <xdr:to>
      <xdr:col>13</xdr:col>
      <xdr:colOff>1158300</xdr:colOff>
      <xdr:row>3</xdr:row>
      <xdr:rowOff>53640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76">
          <xdr14:nvContentPartPr>
            <xdr14:cNvPr id="51" name="Ink 50">
              <a:extLst>
                <a:ext uri="{FF2B5EF4-FFF2-40B4-BE49-F238E27FC236}">
                  <a16:creationId xmlns:a16="http://schemas.microsoft.com/office/drawing/2014/main" id="{665C60D5-1475-E5E0-BC63-4F04F24EC6D4}"/>
                </a:ext>
              </a:extLst>
            </xdr14:cNvPr>
            <xdr14:cNvContentPartPr/>
          </xdr14:nvContentPartPr>
          <xdr14:nvPr macro=""/>
          <xdr14:xfrm>
            <a:off x="11422080" y="830520"/>
            <a:ext cx="360" cy="360"/>
          </xdr14:xfrm>
        </xdr:contentPart>
      </mc:Choice>
      <mc:Fallback xmlns="">
        <xdr:pic>
          <xdr:nvPicPr>
            <xdr:cNvPr id="51" name="Ink 50">
              <a:extLst>
                <a:ext uri="{FF2B5EF4-FFF2-40B4-BE49-F238E27FC236}">
                  <a16:creationId xmlns:a16="http://schemas.microsoft.com/office/drawing/2014/main" id="{665C60D5-1475-E5E0-BC63-4F04F24EC6D4}"/>
                </a:ext>
              </a:extLst>
            </xdr:cNvPr>
            <xdr:cNvPicPr/>
          </xdr:nvPicPr>
          <xdr:blipFill>
            <a:blip xmlns:r="http://schemas.openxmlformats.org/officeDocument/2006/relationships" r:embed="rId77"/>
            <a:stretch>
              <a:fillRect/>
            </a:stretch>
          </xdr:blipFill>
          <xdr:spPr>
            <a:xfrm>
              <a:off x="11413440" y="821520"/>
              <a:ext cx="18000" cy="18000"/>
            </a:xfrm>
            <a:prstGeom prst="rect">
              <a:avLst/>
            </a:prstGeom>
          </xdr:spPr>
        </xdr:pic>
      </mc:Fallback>
    </mc:AlternateContent>
    <xdr:clientData/>
  </xdr:twoCellAnchor>
  <xdr:twoCellAnchor editAs="oneCell">
    <xdr:from>
      <xdr:col>14</xdr:col>
      <xdr:colOff>296940</xdr:colOff>
      <xdr:row>3</xdr:row>
      <xdr:rowOff>68400</xdr:rowOff>
    </xdr:from>
    <xdr:to>
      <xdr:col>14</xdr:col>
      <xdr:colOff>297300</xdr:colOff>
      <xdr:row>3</xdr:row>
      <xdr:rowOff>68760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78">
          <xdr14:nvContentPartPr>
            <xdr14:cNvPr id="52" name="Ink 51">
              <a:extLst>
                <a:ext uri="{FF2B5EF4-FFF2-40B4-BE49-F238E27FC236}">
                  <a16:creationId xmlns:a16="http://schemas.microsoft.com/office/drawing/2014/main" id="{87B63294-D642-8564-598D-6A1C8C789A62}"/>
                </a:ext>
              </a:extLst>
            </xdr14:cNvPr>
            <xdr14:cNvContentPartPr/>
          </xdr14:nvContentPartPr>
          <xdr14:nvPr macro=""/>
          <xdr14:xfrm>
            <a:off x="11826000" y="845640"/>
            <a:ext cx="360" cy="360"/>
          </xdr14:xfrm>
        </xdr:contentPart>
      </mc:Choice>
      <mc:Fallback xmlns="">
        <xdr:pic>
          <xdr:nvPicPr>
            <xdr:cNvPr id="52" name="Ink 51">
              <a:extLst>
                <a:ext uri="{FF2B5EF4-FFF2-40B4-BE49-F238E27FC236}">
                  <a16:creationId xmlns:a16="http://schemas.microsoft.com/office/drawing/2014/main" id="{87B63294-D642-8564-598D-6A1C8C789A62}"/>
                </a:ext>
              </a:extLst>
            </xdr:cNvPr>
            <xdr:cNvPicPr/>
          </xdr:nvPicPr>
          <xdr:blipFill>
            <a:blip xmlns:r="http://schemas.openxmlformats.org/officeDocument/2006/relationships" r:embed="rId79"/>
            <a:stretch>
              <a:fillRect/>
            </a:stretch>
          </xdr:blipFill>
          <xdr:spPr>
            <a:xfrm>
              <a:off x="11817360" y="836640"/>
              <a:ext cx="18000" cy="18000"/>
            </a:xfrm>
            <a:prstGeom prst="rect">
              <a:avLst/>
            </a:prstGeom>
          </xdr:spPr>
        </xdr:pic>
      </mc:Fallback>
    </mc:AlternateContent>
    <xdr:clientData/>
  </xdr:twoCellAnchor>
  <xdr:twoCellAnchor editAs="oneCell">
    <xdr:from>
      <xdr:col>14</xdr:col>
      <xdr:colOff>746580</xdr:colOff>
      <xdr:row>3</xdr:row>
      <xdr:rowOff>60840</xdr:rowOff>
    </xdr:from>
    <xdr:to>
      <xdr:col>14</xdr:col>
      <xdr:colOff>746940</xdr:colOff>
      <xdr:row>3</xdr:row>
      <xdr:rowOff>61200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0">
          <xdr14:nvContentPartPr>
            <xdr14:cNvPr id="53" name="Ink 52">
              <a:extLst>
                <a:ext uri="{FF2B5EF4-FFF2-40B4-BE49-F238E27FC236}">
                  <a16:creationId xmlns:a16="http://schemas.microsoft.com/office/drawing/2014/main" id="{223F4418-741E-0964-5D33-290B15CCC594}"/>
                </a:ext>
              </a:extLst>
            </xdr14:cNvPr>
            <xdr14:cNvContentPartPr/>
          </xdr14:nvContentPartPr>
          <xdr14:nvPr macro=""/>
          <xdr14:xfrm>
            <a:off x="12275640" y="838080"/>
            <a:ext cx="360" cy="360"/>
          </xdr14:xfrm>
        </xdr:contentPart>
      </mc:Choice>
      <mc:Fallback xmlns="">
        <xdr:pic>
          <xdr:nvPicPr>
            <xdr:cNvPr id="53" name="Ink 52">
              <a:extLst>
                <a:ext uri="{FF2B5EF4-FFF2-40B4-BE49-F238E27FC236}">
                  <a16:creationId xmlns:a16="http://schemas.microsoft.com/office/drawing/2014/main" id="{223F4418-741E-0964-5D33-290B15CCC594}"/>
                </a:ext>
              </a:extLst>
            </xdr:cNvPr>
            <xdr:cNvPicPr/>
          </xdr:nvPicPr>
          <xdr:blipFill>
            <a:blip xmlns:r="http://schemas.openxmlformats.org/officeDocument/2006/relationships" r:embed="rId81"/>
            <a:stretch>
              <a:fillRect/>
            </a:stretch>
          </xdr:blipFill>
          <xdr:spPr>
            <a:xfrm>
              <a:off x="12267000" y="829080"/>
              <a:ext cx="18000" cy="18000"/>
            </a:xfrm>
            <a:prstGeom prst="rect">
              <a:avLst/>
            </a:prstGeom>
          </xdr:spPr>
        </xdr:pic>
      </mc:Fallback>
    </mc:AlternateContent>
    <xdr:clientData/>
  </xdr:twoCellAnchor>
  <xdr:twoCellAnchor editAs="oneCell">
    <xdr:from>
      <xdr:col>14</xdr:col>
      <xdr:colOff>1180740</xdr:colOff>
      <xdr:row>3</xdr:row>
      <xdr:rowOff>144720</xdr:rowOff>
    </xdr:from>
    <xdr:to>
      <xdr:col>14</xdr:col>
      <xdr:colOff>1181100</xdr:colOff>
      <xdr:row>3</xdr:row>
      <xdr:rowOff>145080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2">
          <xdr14:nvContentPartPr>
            <xdr14:cNvPr id="54" name="Ink 53">
              <a:extLst>
                <a:ext uri="{FF2B5EF4-FFF2-40B4-BE49-F238E27FC236}">
                  <a16:creationId xmlns:a16="http://schemas.microsoft.com/office/drawing/2014/main" id="{583E89BD-E9C4-D276-56A1-FEE89671EEBE}"/>
                </a:ext>
              </a:extLst>
            </xdr14:cNvPr>
            <xdr14:cNvContentPartPr/>
          </xdr14:nvContentPartPr>
          <xdr14:nvPr macro=""/>
          <xdr14:xfrm>
            <a:off x="12709800" y="921960"/>
            <a:ext cx="360" cy="360"/>
          </xdr14:xfrm>
        </xdr:contentPart>
      </mc:Choice>
      <mc:Fallback xmlns="">
        <xdr:pic>
          <xdr:nvPicPr>
            <xdr:cNvPr id="54" name="Ink 53">
              <a:extLst>
                <a:ext uri="{FF2B5EF4-FFF2-40B4-BE49-F238E27FC236}">
                  <a16:creationId xmlns:a16="http://schemas.microsoft.com/office/drawing/2014/main" id="{583E89BD-E9C4-D276-56A1-FEE89671EEBE}"/>
                </a:ext>
              </a:extLst>
            </xdr:cNvPr>
            <xdr:cNvPicPr/>
          </xdr:nvPicPr>
          <xdr:blipFill>
            <a:blip xmlns:r="http://schemas.openxmlformats.org/officeDocument/2006/relationships" r:embed="rId83"/>
            <a:stretch>
              <a:fillRect/>
            </a:stretch>
          </xdr:blipFill>
          <xdr:spPr>
            <a:xfrm>
              <a:off x="12701160" y="912960"/>
              <a:ext cx="18000" cy="18000"/>
            </a:xfrm>
            <a:prstGeom prst="rect">
              <a:avLst/>
            </a:prstGeom>
          </xdr:spPr>
        </xdr:pic>
      </mc:Fallback>
    </mc:AlternateContent>
    <xdr:clientData/>
  </xdr:twoCellAnchor>
  <xdr:twoCellAnchor editAs="oneCell">
    <xdr:from>
      <xdr:col>14</xdr:col>
      <xdr:colOff>1310340</xdr:colOff>
      <xdr:row>4</xdr:row>
      <xdr:rowOff>121680</xdr:rowOff>
    </xdr:from>
    <xdr:to>
      <xdr:col>14</xdr:col>
      <xdr:colOff>1310700</xdr:colOff>
      <xdr:row>4</xdr:row>
      <xdr:rowOff>122040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4">
          <xdr14:nvContentPartPr>
            <xdr14:cNvPr id="55" name="Ink 54">
              <a:extLst>
                <a:ext uri="{FF2B5EF4-FFF2-40B4-BE49-F238E27FC236}">
                  <a16:creationId xmlns:a16="http://schemas.microsoft.com/office/drawing/2014/main" id="{F629EEF2-FAE0-702C-2669-D56A1971B15F}"/>
                </a:ext>
              </a:extLst>
            </xdr14:cNvPr>
            <xdr14:cNvContentPartPr/>
          </xdr14:nvContentPartPr>
          <xdr14:nvPr macro=""/>
          <xdr14:xfrm>
            <a:off x="12839400" y="1081800"/>
            <a:ext cx="360" cy="360"/>
          </xdr14:xfrm>
        </xdr:contentPart>
      </mc:Choice>
      <mc:Fallback xmlns="">
        <xdr:pic>
          <xdr:nvPicPr>
            <xdr:cNvPr id="55" name="Ink 54">
              <a:extLst>
                <a:ext uri="{FF2B5EF4-FFF2-40B4-BE49-F238E27FC236}">
                  <a16:creationId xmlns:a16="http://schemas.microsoft.com/office/drawing/2014/main" id="{F629EEF2-FAE0-702C-2669-D56A1971B15F}"/>
                </a:ext>
              </a:extLst>
            </xdr:cNvPr>
            <xdr:cNvPicPr/>
          </xdr:nvPicPr>
          <xdr:blipFill>
            <a:blip xmlns:r="http://schemas.openxmlformats.org/officeDocument/2006/relationships" r:embed="rId85"/>
            <a:stretch>
              <a:fillRect/>
            </a:stretch>
          </xdr:blipFill>
          <xdr:spPr>
            <a:xfrm>
              <a:off x="12830760" y="1072800"/>
              <a:ext cx="18000" cy="18000"/>
            </a:xfrm>
            <a:prstGeom prst="rect">
              <a:avLst/>
            </a:prstGeom>
          </xdr:spPr>
        </xdr:pic>
      </mc:Fallback>
    </mc:AlternateContent>
    <xdr:clientData/>
  </xdr:twoCellAnchor>
  <xdr:twoCellAnchor editAs="oneCell">
    <xdr:from>
      <xdr:col>15</xdr:col>
      <xdr:colOff>151980</xdr:colOff>
      <xdr:row>3</xdr:row>
      <xdr:rowOff>136800</xdr:rowOff>
    </xdr:from>
    <xdr:to>
      <xdr:col>15</xdr:col>
      <xdr:colOff>152340</xdr:colOff>
      <xdr:row>3</xdr:row>
      <xdr:rowOff>137160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6">
          <xdr14:nvContentPartPr>
            <xdr14:cNvPr id="56" name="Ink 55">
              <a:extLst>
                <a:ext uri="{FF2B5EF4-FFF2-40B4-BE49-F238E27FC236}">
                  <a16:creationId xmlns:a16="http://schemas.microsoft.com/office/drawing/2014/main" id="{39BDADA8-F855-DB68-052E-44CEDC00FC48}"/>
                </a:ext>
              </a:extLst>
            </xdr14:cNvPr>
            <xdr14:cNvContentPartPr/>
          </xdr14:nvContentPartPr>
          <xdr14:nvPr macro=""/>
          <xdr14:xfrm>
            <a:off x="13037400" y="914040"/>
            <a:ext cx="360" cy="360"/>
          </xdr14:xfrm>
        </xdr:contentPart>
      </mc:Choice>
      <mc:Fallback xmlns="">
        <xdr:pic>
          <xdr:nvPicPr>
            <xdr:cNvPr id="56" name="Ink 55">
              <a:extLst>
                <a:ext uri="{FF2B5EF4-FFF2-40B4-BE49-F238E27FC236}">
                  <a16:creationId xmlns:a16="http://schemas.microsoft.com/office/drawing/2014/main" id="{39BDADA8-F855-DB68-052E-44CEDC00FC48}"/>
                </a:ext>
              </a:extLst>
            </xdr:cNvPr>
            <xdr:cNvPicPr/>
          </xdr:nvPicPr>
          <xdr:blipFill>
            <a:blip xmlns:r="http://schemas.openxmlformats.org/officeDocument/2006/relationships" r:embed="rId87"/>
            <a:stretch>
              <a:fillRect/>
            </a:stretch>
          </xdr:blipFill>
          <xdr:spPr>
            <a:xfrm>
              <a:off x="13028760" y="905040"/>
              <a:ext cx="18000" cy="18000"/>
            </a:xfrm>
            <a:prstGeom prst="rect">
              <a:avLst/>
            </a:prstGeom>
          </xdr:spPr>
        </xdr:pic>
      </mc:Fallback>
    </mc:AlternateContent>
    <xdr:clientData/>
  </xdr:twoCellAnchor>
  <xdr:twoCellAnchor editAs="oneCell">
    <xdr:from>
      <xdr:col>15</xdr:col>
      <xdr:colOff>495060</xdr:colOff>
      <xdr:row>3</xdr:row>
      <xdr:rowOff>99000</xdr:rowOff>
    </xdr:from>
    <xdr:to>
      <xdr:col>15</xdr:col>
      <xdr:colOff>495420</xdr:colOff>
      <xdr:row>3</xdr:row>
      <xdr:rowOff>99360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88">
          <xdr14:nvContentPartPr>
            <xdr14:cNvPr id="57" name="Ink 56">
              <a:extLst>
                <a:ext uri="{FF2B5EF4-FFF2-40B4-BE49-F238E27FC236}">
                  <a16:creationId xmlns:a16="http://schemas.microsoft.com/office/drawing/2014/main" id="{84B808B7-5378-B274-65F5-C0FB7E63498C}"/>
                </a:ext>
              </a:extLst>
            </xdr14:cNvPr>
            <xdr14:cNvContentPartPr/>
          </xdr14:nvContentPartPr>
          <xdr14:nvPr macro=""/>
          <xdr14:xfrm>
            <a:off x="13380480" y="876240"/>
            <a:ext cx="360" cy="360"/>
          </xdr14:xfrm>
        </xdr:contentPart>
      </mc:Choice>
      <mc:Fallback xmlns="">
        <xdr:pic>
          <xdr:nvPicPr>
            <xdr:cNvPr id="57" name="Ink 56">
              <a:extLst>
                <a:ext uri="{FF2B5EF4-FFF2-40B4-BE49-F238E27FC236}">
                  <a16:creationId xmlns:a16="http://schemas.microsoft.com/office/drawing/2014/main" id="{84B808B7-5378-B274-65F5-C0FB7E63498C}"/>
                </a:ext>
              </a:extLst>
            </xdr:cNvPr>
            <xdr:cNvPicPr/>
          </xdr:nvPicPr>
          <xdr:blipFill>
            <a:blip xmlns:r="http://schemas.openxmlformats.org/officeDocument/2006/relationships" r:embed="rId89"/>
            <a:stretch>
              <a:fillRect/>
            </a:stretch>
          </xdr:blipFill>
          <xdr:spPr>
            <a:xfrm>
              <a:off x="13371840" y="867240"/>
              <a:ext cx="18000" cy="18000"/>
            </a:xfrm>
            <a:prstGeom prst="rect">
              <a:avLst/>
            </a:prstGeom>
          </xdr:spPr>
        </xdr:pic>
      </mc:Fallback>
    </mc:AlternateContent>
    <xdr:clientData/>
  </xdr:twoCellAnchor>
  <xdr:twoCellAnchor editAs="oneCell">
    <xdr:from>
      <xdr:col>15</xdr:col>
      <xdr:colOff>350340</xdr:colOff>
      <xdr:row>4</xdr:row>
      <xdr:rowOff>99000</xdr:rowOff>
    </xdr:from>
    <xdr:to>
      <xdr:col>15</xdr:col>
      <xdr:colOff>350700</xdr:colOff>
      <xdr:row>4</xdr:row>
      <xdr:rowOff>99360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90">
          <xdr14:nvContentPartPr>
            <xdr14:cNvPr id="58" name="Ink 57">
              <a:extLst>
                <a:ext uri="{FF2B5EF4-FFF2-40B4-BE49-F238E27FC236}">
                  <a16:creationId xmlns:a16="http://schemas.microsoft.com/office/drawing/2014/main" id="{B8B5E430-774A-9135-8088-64CA35E6A9C7}"/>
                </a:ext>
              </a:extLst>
            </xdr14:cNvPr>
            <xdr14:cNvContentPartPr/>
          </xdr14:nvContentPartPr>
          <xdr14:nvPr macro=""/>
          <xdr14:xfrm>
            <a:off x="13235760" y="1059120"/>
            <a:ext cx="360" cy="360"/>
          </xdr14:xfrm>
        </xdr:contentPart>
      </mc:Choice>
      <mc:Fallback xmlns="">
        <xdr:pic>
          <xdr:nvPicPr>
            <xdr:cNvPr id="58" name="Ink 57">
              <a:extLst>
                <a:ext uri="{FF2B5EF4-FFF2-40B4-BE49-F238E27FC236}">
                  <a16:creationId xmlns:a16="http://schemas.microsoft.com/office/drawing/2014/main" id="{B8B5E430-774A-9135-8088-64CA35E6A9C7}"/>
                </a:ext>
              </a:extLst>
            </xdr:cNvPr>
            <xdr:cNvPicPr/>
          </xdr:nvPicPr>
          <xdr:blipFill>
            <a:blip xmlns:r="http://schemas.openxmlformats.org/officeDocument/2006/relationships" r:embed="rId91"/>
            <a:stretch>
              <a:fillRect/>
            </a:stretch>
          </xdr:blipFill>
          <xdr:spPr>
            <a:xfrm>
              <a:off x="13227120" y="1050120"/>
              <a:ext cx="18000" cy="18000"/>
            </a:xfrm>
            <a:prstGeom prst="rect">
              <a:avLst/>
            </a:prstGeom>
          </xdr:spPr>
        </xdr:pic>
      </mc:Fallback>
    </mc:AlternateContent>
    <xdr:clientData/>
  </xdr:twoCellAnchor>
  <xdr:twoCellAnchor editAs="oneCell">
    <xdr:from>
      <xdr:col>13</xdr:col>
      <xdr:colOff>91260</xdr:colOff>
      <xdr:row>3</xdr:row>
      <xdr:rowOff>129240</xdr:rowOff>
    </xdr:from>
    <xdr:to>
      <xdr:col>13</xdr:col>
      <xdr:colOff>91620</xdr:colOff>
      <xdr:row>3</xdr:row>
      <xdr:rowOff>129600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92">
          <xdr14:nvContentPartPr>
            <xdr14:cNvPr id="59" name="Ink 58">
              <a:extLst>
                <a:ext uri="{FF2B5EF4-FFF2-40B4-BE49-F238E27FC236}">
                  <a16:creationId xmlns:a16="http://schemas.microsoft.com/office/drawing/2014/main" id="{D8E0E78C-754D-F1F2-173A-5E1C18022AA1}"/>
                </a:ext>
              </a:extLst>
            </xdr14:cNvPr>
            <xdr14:cNvContentPartPr/>
          </xdr14:nvContentPartPr>
          <xdr14:nvPr macro=""/>
          <xdr14:xfrm>
            <a:off x="10355400" y="906480"/>
            <a:ext cx="360" cy="360"/>
          </xdr14:xfrm>
        </xdr:contentPart>
      </mc:Choice>
      <mc:Fallback xmlns="">
        <xdr:pic>
          <xdr:nvPicPr>
            <xdr:cNvPr id="59" name="Ink 58">
              <a:extLst>
                <a:ext uri="{FF2B5EF4-FFF2-40B4-BE49-F238E27FC236}">
                  <a16:creationId xmlns:a16="http://schemas.microsoft.com/office/drawing/2014/main" id="{D8E0E78C-754D-F1F2-173A-5E1C18022AA1}"/>
                </a:ext>
              </a:extLst>
            </xdr:cNvPr>
            <xdr:cNvPicPr/>
          </xdr:nvPicPr>
          <xdr:blipFill>
            <a:blip xmlns:r="http://schemas.openxmlformats.org/officeDocument/2006/relationships" r:embed="rId93"/>
            <a:stretch>
              <a:fillRect/>
            </a:stretch>
          </xdr:blipFill>
          <xdr:spPr>
            <a:xfrm>
              <a:off x="10346760" y="897480"/>
              <a:ext cx="18000" cy="18000"/>
            </a:xfrm>
            <a:prstGeom prst="rect">
              <a:avLst/>
            </a:prstGeom>
          </xdr:spPr>
        </xdr:pic>
      </mc:Fallback>
    </mc:AlternateContent>
    <xdr:clientData/>
  </xdr:twoCellAnchor>
  <xdr:twoCellAnchor editAs="oneCell">
    <xdr:from>
      <xdr:col>13</xdr:col>
      <xdr:colOff>121500</xdr:colOff>
      <xdr:row>4</xdr:row>
      <xdr:rowOff>114120</xdr:rowOff>
    </xdr:from>
    <xdr:to>
      <xdr:col>13</xdr:col>
      <xdr:colOff>121860</xdr:colOff>
      <xdr:row>4</xdr:row>
      <xdr:rowOff>114480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94">
          <xdr14:nvContentPartPr>
            <xdr14:cNvPr id="60" name="Ink 59">
              <a:extLst>
                <a:ext uri="{FF2B5EF4-FFF2-40B4-BE49-F238E27FC236}">
                  <a16:creationId xmlns:a16="http://schemas.microsoft.com/office/drawing/2014/main" id="{CD388916-5883-32CE-5B21-64BA78C7B39D}"/>
                </a:ext>
              </a:extLst>
            </xdr14:cNvPr>
            <xdr14:cNvContentPartPr/>
          </xdr14:nvContentPartPr>
          <xdr14:nvPr macro=""/>
          <xdr14:xfrm>
            <a:off x="10385640" y="1074240"/>
            <a:ext cx="360" cy="360"/>
          </xdr14:xfrm>
        </xdr:contentPart>
      </mc:Choice>
      <mc:Fallback xmlns="">
        <xdr:pic>
          <xdr:nvPicPr>
            <xdr:cNvPr id="60" name="Ink 59">
              <a:extLst>
                <a:ext uri="{FF2B5EF4-FFF2-40B4-BE49-F238E27FC236}">
                  <a16:creationId xmlns:a16="http://schemas.microsoft.com/office/drawing/2014/main" id="{CD388916-5883-32CE-5B21-64BA78C7B39D}"/>
                </a:ext>
              </a:extLst>
            </xdr:cNvPr>
            <xdr:cNvPicPr/>
          </xdr:nvPicPr>
          <xdr:blipFill>
            <a:blip xmlns:r="http://schemas.openxmlformats.org/officeDocument/2006/relationships" r:embed="rId95"/>
            <a:stretch>
              <a:fillRect/>
            </a:stretch>
          </xdr:blipFill>
          <xdr:spPr>
            <a:xfrm>
              <a:off x="10377000" y="106524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167640</xdr:colOff>
      <xdr:row>2</xdr:row>
      <xdr:rowOff>137160</xdr:rowOff>
    </xdr:from>
    <xdr:to>
      <xdr:col>15</xdr:col>
      <xdr:colOff>236220</xdr:colOff>
      <xdr:row>5</xdr:row>
      <xdr:rowOff>22860</xdr:rowOff>
    </xdr:to>
    <mc:AlternateContent xmlns:mc="http://schemas.openxmlformats.org/markup-compatibility/2006" xmlns:a14="http://schemas.microsoft.com/office/drawing/2010/main">
      <mc:Choice Requires="a14">
        <xdr:graphicFrame macro="">
          <xdr:nvGraphicFramePr>
            <xdr:cNvPr id="2" name="Subsystems">
              <a:extLst>
                <a:ext uri="{FF2B5EF4-FFF2-40B4-BE49-F238E27FC236}">
                  <a16:creationId xmlns:a16="http://schemas.microsoft.com/office/drawing/2014/main" id="{1B22E093-3B4C-6A18-D2F9-EDBCC2C2E129}"/>
                </a:ext>
              </a:extLst>
            </xdr:cNvPr>
            <xdr:cNvGraphicFramePr/>
          </xdr:nvGraphicFramePr>
          <xdr:xfrm>
            <a:off x="0" y="0"/>
            <a:ext cx="0" cy="0"/>
          </xdr:xfrm>
          <a:graphic>
            <a:graphicData uri="http://schemas.microsoft.com/office/drawing/2010/slicer">
              <sle:slicer xmlns:sle="http://schemas.microsoft.com/office/drawing/2010/slicer" name="Subsystems"/>
            </a:graphicData>
          </a:graphic>
        </xdr:graphicFrame>
      </mc:Choice>
      <mc:Fallback xmlns="">
        <xdr:sp macro="" textlink="">
          <xdr:nvSpPr>
            <xdr:cNvPr id="0" name=""/>
            <xdr:cNvSpPr>
              <a:spLocks noTextEdit="1"/>
            </xdr:cNvSpPr>
          </xdr:nvSpPr>
          <xdr:spPr>
            <a:xfrm>
              <a:off x="167640" y="502920"/>
              <a:ext cx="13975080" cy="434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15</xdr:row>
      <xdr:rowOff>167640</xdr:rowOff>
    </xdr:from>
    <xdr:to>
      <xdr:col>4</xdr:col>
      <xdr:colOff>381000</xdr:colOff>
      <xdr:row>30</xdr:row>
      <xdr:rowOff>167640</xdr:rowOff>
    </xdr:to>
    <xdr:graphicFrame macro="">
      <xdr:nvGraphicFramePr>
        <xdr:cNvPr id="9" name="Chart 8">
          <a:extLst>
            <a:ext uri="{FF2B5EF4-FFF2-40B4-BE49-F238E27FC236}">
              <a16:creationId xmlns:a16="http://schemas.microsoft.com/office/drawing/2014/main" id="{18CD8780-6B4E-4109-89E6-49E3244350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678180</xdr:colOff>
      <xdr:row>16</xdr:row>
      <xdr:rowOff>0</xdr:rowOff>
    </xdr:from>
    <xdr:to>
      <xdr:col>9</xdr:col>
      <xdr:colOff>906780</xdr:colOff>
      <xdr:row>31</xdr:row>
      <xdr:rowOff>0</xdr:rowOff>
    </xdr:to>
    <xdr:graphicFrame macro="">
      <xdr:nvGraphicFramePr>
        <xdr:cNvPr id="10" name="Chart 9">
          <a:extLst>
            <a:ext uri="{FF2B5EF4-FFF2-40B4-BE49-F238E27FC236}">
              <a16:creationId xmlns:a16="http://schemas.microsoft.com/office/drawing/2014/main" id="{591654B9-FEE9-4FEE-B7CF-23E6BBAE8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121920</xdr:colOff>
      <xdr:row>16</xdr:row>
      <xdr:rowOff>91440</xdr:rowOff>
    </xdr:from>
    <xdr:to>
      <xdr:col>15</xdr:col>
      <xdr:colOff>121920</xdr:colOff>
      <xdr:row>30</xdr:row>
      <xdr:rowOff>167640</xdr:rowOff>
    </xdr:to>
    <xdr:graphicFrame macro="">
      <xdr:nvGraphicFramePr>
        <xdr:cNvPr id="11" name="Chart 10">
          <a:extLst>
            <a:ext uri="{FF2B5EF4-FFF2-40B4-BE49-F238E27FC236}">
              <a16:creationId xmlns:a16="http://schemas.microsoft.com/office/drawing/2014/main" id="{68C2585B-748B-42FC-A3C8-E2CEF86C06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213360</xdr:colOff>
      <xdr:row>7</xdr:row>
      <xdr:rowOff>114300</xdr:rowOff>
    </xdr:from>
    <xdr:to>
      <xdr:col>1</xdr:col>
      <xdr:colOff>1112520</xdr:colOff>
      <xdr:row>12</xdr:row>
      <xdr:rowOff>114300</xdr:rowOff>
    </xdr:to>
    <xdr:sp macro="" textlink="">
      <xdr:nvSpPr>
        <xdr:cNvPr id="17" name="Rectangle: Single Corner Rounded 16">
          <a:extLst>
            <a:ext uri="{FF2B5EF4-FFF2-40B4-BE49-F238E27FC236}">
              <a16:creationId xmlns:a16="http://schemas.microsoft.com/office/drawing/2014/main" id="{91E6A2EA-9012-1595-D02E-32CECB0A9F51}"/>
            </a:ext>
          </a:extLst>
        </xdr:cNvPr>
        <xdr:cNvSpPr/>
      </xdr:nvSpPr>
      <xdr:spPr>
        <a:xfrm>
          <a:off x="213360" y="1440180"/>
          <a:ext cx="2293620" cy="914400"/>
        </a:xfrm>
        <a:prstGeom prst="round1Rect">
          <a:avLst/>
        </a:prstGeom>
        <a:solidFill>
          <a:schemeClr val="accent5">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mn-lt"/>
              <a:ea typeface="+mn-ea"/>
              <a:cs typeface="+mn-cs"/>
            </a:rPr>
            <a:t>TOTAL SPEND=</a:t>
          </a:r>
          <a:r>
            <a:rPr lang="en-US" sz="2800">
              <a:solidFill>
                <a:srgbClr val="FFFF00"/>
              </a:solidFill>
            </a:rPr>
            <a:t>₹</a:t>
          </a:r>
          <a:r>
            <a:rPr lang="en-US" sz="2800" b="1">
              <a:solidFill>
                <a:srgbClr val="FFFF00"/>
              </a:solidFill>
              <a:effectLst/>
              <a:latin typeface="+mn-lt"/>
              <a:ea typeface="+mn-ea"/>
              <a:cs typeface="+mn-cs"/>
            </a:rPr>
            <a:t>10.5M</a:t>
          </a:r>
          <a:r>
            <a:rPr lang="en-US" sz="2800" b="1" baseline="0">
              <a:solidFill>
                <a:srgbClr val="FFFF00"/>
              </a:solidFill>
              <a:effectLst/>
              <a:latin typeface="+mn-lt"/>
              <a:ea typeface="+mn-ea"/>
              <a:cs typeface="+mn-cs"/>
            </a:rPr>
            <a:t> </a:t>
          </a:r>
          <a:endParaRPr lang="en-US" sz="2800">
            <a:solidFill>
              <a:schemeClr val="tx1"/>
            </a:solidFill>
            <a:effectLst/>
          </a:endParaRPr>
        </a:p>
      </xdr:txBody>
    </xdr:sp>
    <xdr:clientData/>
  </xdr:twoCellAnchor>
  <xdr:twoCellAnchor>
    <xdr:from>
      <xdr:col>3</xdr:col>
      <xdr:colOff>502920</xdr:colOff>
      <xdr:row>7</xdr:row>
      <xdr:rowOff>175260</xdr:rowOff>
    </xdr:from>
    <xdr:to>
      <xdr:col>6</xdr:col>
      <xdr:colOff>205740</xdr:colOff>
      <xdr:row>12</xdr:row>
      <xdr:rowOff>175260</xdr:rowOff>
    </xdr:to>
    <xdr:sp macro="" textlink="">
      <xdr:nvSpPr>
        <xdr:cNvPr id="18" name="Rectangle: Single Corner Rounded 17">
          <a:extLst>
            <a:ext uri="{FF2B5EF4-FFF2-40B4-BE49-F238E27FC236}">
              <a16:creationId xmlns:a16="http://schemas.microsoft.com/office/drawing/2014/main" id="{AE6E7B16-F28B-4485-8156-3ECC3A8F87B7}"/>
            </a:ext>
          </a:extLst>
        </xdr:cNvPr>
        <xdr:cNvSpPr/>
      </xdr:nvSpPr>
      <xdr:spPr>
        <a:xfrm>
          <a:off x="3863340" y="1455420"/>
          <a:ext cx="2316480" cy="914400"/>
        </a:xfrm>
        <a:prstGeom prst="round1Rect">
          <a:avLst/>
        </a:prstGeom>
        <a:solidFill>
          <a:schemeClr val="accent5">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mn-lt"/>
              <a:ea typeface="+mn-ea"/>
              <a:cs typeface="+mn-cs"/>
            </a:rPr>
            <a:t>TOTAL VENDORS=</a:t>
          </a:r>
          <a:r>
            <a:rPr lang="en-US" sz="3200" b="1">
              <a:solidFill>
                <a:srgbClr val="FFFF00"/>
              </a:solidFill>
              <a:effectLst/>
              <a:latin typeface="+mn-lt"/>
              <a:ea typeface="+mn-ea"/>
              <a:cs typeface="+mn-cs"/>
            </a:rPr>
            <a:t>20</a:t>
          </a:r>
          <a:endParaRPr lang="en-US" sz="3200">
            <a:solidFill>
              <a:srgbClr val="FFFF00"/>
            </a:solidFill>
            <a:effectLst/>
          </a:endParaRPr>
        </a:p>
        <a:p>
          <a:pPr algn="l"/>
          <a:endParaRPr lang="en-US" sz="1100"/>
        </a:p>
      </xdr:txBody>
    </xdr:sp>
    <xdr:clientData/>
  </xdr:twoCellAnchor>
  <xdr:twoCellAnchor>
    <xdr:from>
      <xdr:col>8</xdr:col>
      <xdr:colOff>777240</xdr:colOff>
      <xdr:row>8</xdr:row>
      <xdr:rowOff>22860</xdr:rowOff>
    </xdr:from>
    <xdr:to>
      <xdr:col>11</xdr:col>
      <xdr:colOff>411480</xdr:colOff>
      <xdr:row>13</xdr:row>
      <xdr:rowOff>45720</xdr:rowOff>
    </xdr:to>
    <xdr:sp macro="" textlink="">
      <xdr:nvSpPr>
        <xdr:cNvPr id="19" name="Rectangle: Single Corner Rounded 18">
          <a:extLst>
            <a:ext uri="{FF2B5EF4-FFF2-40B4-BE49-F238E27FC236}">
              <a16:creationId xmlns:a16="http://schemas.microsoft.com/office/drawing/2014/main" id="{94A15284-A37E-4946-A918-F7F0842B1433}"/>
            </a:ext>
          </a:extLst>
        </xdr:cNvPr>
        <xdr:cNvSpPr/>
      </xdr:nvSpPr>
      <xdr:spPr>
        <a:xfrm>
          <a:off x="8450580" y="1531620"/>
          <a:ext cx="2278380" cy="937260"/>
        </a:xfrm>
        <a:prstGeom prst="round1Rect">
          <a:avLst/>
        </a:prstGeom>
        <a:solidFill>
          <a:schemeClr val="accent5">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mn-lt"/>
              <a:ea typeface="+mn-ea"/>
              <a:cs typeface="+mn-cs"/>
            </a:rPr>
            <a:t>TOTAL</a:t>
          </a:r>
          <a:r>
            <a:rPr lang="en-US" sz="1800" b="1" baseline="0">
              <a:solidFill>
                <a:schemeClr val="tx1"/>
              </a:solidFill>
              <a:effectLst/>
              <a:latin typeface="+mn-lt"/>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lang="en-US" sz="1800" b="1" baseline="0">
              <a:solidFill>
                <a:schemeClr val="tx1"/>
              </a:solidFill>
              <a:effectLst/>
              <a:latin typeface="+mn-lt"/>
              <a:ea typeface="+mn-ea"/>
              <a:cs typeface="+mn-cs"/>
            </a:rPr>
            <a:t>QUANTITY= </a:t>
          </a:r>
          <a:r>
            <a:rPr lang="en-US" sz="3200" b="1" baseline="0">
              <a:solidFill>
                <a:srgbClr val="FFFF00"/>
              </a:solidFill>
              <a:effectLst/>
              <a:latin typeface="+mn-lt"/>
              <a:ea typeface="+mn-ea"/>
              <a:cs typeface="+mn-cs"/>
            </a:rPr>
            <a:t>4661</a:t>
          </a:r>
          <a:endParaRPr lang="en-US" sz="3200">
            <a:solidFill>
              <a:srgbClr val="FFFF00"/>
            </a:solidFill>
            <a:effectLst/>
          </a:endParaRPr>
        </a:p>
        <a:p>
          <a:pPr algn="l"/>
          <a:endParaRPr lang="en-US" sz="1100"/>
        </a:p>
      </xdr:txBody>
    </xdr:sp>
    <xdr:clientData/>
  </xdr:twoCellAnchor>
  <xdr:twoCellAnchor>
    <xdr:from>
      <xdr:col>13</xdr:col>
      <xdr:colOff>190500</xdr:colOff>
      <xdr:row>7</xdr:row>
      <xdr:rowOff>99060</xdr:rowOff>
    </xdr:from>
    <xdr:to>
      <xdr:col>15</xdr:col>
      <xdr:colOff>259080</xdr:colOff>
      <xdr:row>12</xdr:row>
      <xdr:rowOff>99060</xdr:rowOff>
    </xdr:to>
    <xdr:sp macro="" textlink="">
      <xdr:nvSpPr>
        <xdr:cNvPr id="20" name="Rectangle: Single Corner Rounded 19">
          <a:extLst>
            <a:ext uri="{FF2B5EF4-FFF2-40B4-BE49-F238E27FC236}">
              <a16:creationId xmlns:a16="http://schemas.microsoft.com/office/drawing/2014/main" id="{548C71D7-51D7-48A0-9629-CF9B082043A7}"/>
            </a:ext>
          </a:extLst>
        </xdr:cNvPr>
        <xdr:cNvSpPr/>
      </xdr:nvSpPr>
      <xdr:spPr>
        <a:xfrm>
          <a:off x="12131040" y="1379220"/>
          <a:ext cx="2034540" cy="914400"/>
        </a:xfrm>
        <a:prstGeom prst="round1Rect">
          <a:avLst/>
        </a:prstGeom>
        <a:solidFill>
          <a:schemeClr val="accent5">
            <a:lumMod val="60000"/>
            <a:lumOff val="4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1">
              <a:solidFill>
                <a:schemeClr val="tx1"/>
              </a:solidFill>
              <a:effectLst/>
              <a:latin typeface="+mn-lt"/>
              <a:ea typeface="+mn-ea"/>
              <a:cs typeface="+mn-cs"/>
            </a:rPr>
            <a:t>PENDING</a:t>
          </a:r>
          <a:r>
            <a:rPr lang="en-US" sz="1800" b="1" baseline="0">
              <a:solidFill>
                <a:schemeClr val="tx1"/>
              </a:solidFill>
              <a:effectLst/>
              <a:latin typeface="+mn-lt"/>
              <a:ea typeface="+mn-ea"/>
              <a:cs typeface="+mn-cs"/>
            </a:rPr>
            <a:t> ORDERS= </a:t>
          </a:r>
          <a:r>
            <a:rPr lang="en-US" sz="3200" b="1" baseline="0">
              <a:solidFill>
                <a:srgbClr val="FFFF00"/>
              </a:solidFill>
              <a:effectLst/>
              <a:latin typeface="+mn-lt"/>
              <a:ea typeface="+mn-ea"/>
              <a:cs typeface="+mn-cs"/>
            </a:rPr>
            <a:t>1553</a:t>
          </a:r>
          <a:endParaRPr lang="en-US" sz="1100">
            <a:solidFill>
              <a:srgbClr val="FFFF00"/>
            </a:solidFill>
          </a:endParaRPr>
        </a:p>
      </xdr:txBody>
    </xdr:sp>
    <xdr:clientData/>
  </xdr:twoCellAnchor>
  <xdr:twoCellAnchor>
    <xdr:from>
      <xdr:col>1</xdr:col>
      <xdr:colOff>388620</xdr:colOff>
      <xdr:row>13</xdr:row>
      <xdr:rowOff>0</xdr:rowOff>
    </xdr:from>
    <xdr:to>
      <xdr:col>3</xdr:col>
      <xdr:colOff>342900</xdr:colOff>
      <xdr:row>15</xdr:row>
      <xdr:rowOff>45720</xdr:rowOff>
    </xdr:to>
    <xdr:sp macro="" textlink="">
      <xdr:nvSpPr>
        <xdr:cNvPr id="21" name="Rectangle: Top Corners Rounded 20">
          <a:extLst>
            <a:ext uri="{FF2B5EF4-FFF2-40B4-BE49-F238E27FC236}">
              <a16:creationId xmlns:a16="http://schemas.microsoft.com/office/drawing/2014/main" id="{168A7709-D660-B6B1-9EBE-9D65D3D973A7}"/>
            </a:ext>
          </a:extLst>
        </xdr:cNvPr>
        <xdr:cNvSpPr/>
      </xdr:nvSpPr>
      <xdr:spPr>
        <a:xfrm>
          <a:off x="1783080" y="2377440"/>
          <a:ext cx="1920240" cy="41148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541020</xdr:colOff>
          <xdr:row>12</xdr:row>
          <xdr:rowOff>137160</xdr:rowOff>
        </xdr:from>
        <xdr:to>
          <xdr:col>3</xdr:col>
          <xdr:colOff>480060</xdr:colOff>
          <xdr:row>15</xdr:row>
          <xdr:rowOff>76200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VENDOR ANALYSIS</a:t>
              </a:r>
            </a:p>
          </xdr:txBody>
        </xdr:sp>
        <xdr:clientData/>
      </xdr:twoCellAnchor>
    </mc:Choice>
    <mc:Fallback/>
  </mc:AlternateContent>
  <xdr:twoCellAnchor>
    <xdr:from>
      <xdr:col>6</xdr:col>
      <xdr:colOff>403860</xdr:colOff>
      <xdr:row>13</xdr:row>
      <xdr:rowOff>7620</xdr:rowOff>
    </xdr:from>
    <xdr:to>
      <xdr:col>8</xdr:col>
      <xdr:colOff>624840</xdr:colOff>
      <xdr:row>15</xdr:row>
      <xdr:rowOff>53340</xdr:rowOff>
    </xdr:to>
    <xdr:sp macro="" textlink="">
      <xdr:nvSpPr>
        <xdr:cNvPr id="22" name="Rectangle: Top Corners Rounded 21">
          <a:extLst>
            <a:ext uri="{FF2B5EF4-FFF2-40B4-BE49-F238E27FC236}">
              <a16:creationId xmlns:a16="http://schemas.microsoft.com/office/drawing/2014/main" id="{447783E1-0AB5-49CC-9355-4104CBADCA9F}"/>
            </a:ext>
          </a:extLst>
        </xdr:cNvPr>
        <xdr:cNvSpPr/>
      </xdr:nvSpPr>
      <xdr:spPr>
        <a:xfrm>
          <a:off x="6377940" y="2385060"/>
          <a:ext cx="1920240" cy="41148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533400</xdr:colOff>
          <xdr:row>13</xdr:row>
          <xdr:rowOff>91440</xdr:rowOff>
        </xdr:from>
        <xdr:to>
          <xdr:col>8</xdr:col>
          <xdr:colOff>480060</xdr:colOff>
          <xdr:row>14</xdr:row>
          <xdr:rowOff>129540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SPEND TRACK</a:t>
              </a:r>
            </a:p>
          </xdr:txBody>
        </xdr:sp>
        <xdr:clientData/>
      </xdr:twoCellAnchor>
    </mc:Choice>
    <mc:Fallback/>
  </mc:AlternateContent>
  <xdr:twoCellAnchor>
    <xdr:from>
      <xdr:col>12</xdr:col>
      <xdr:colOff>137160</xdr:colOff>
      <xdr:row>13</xdr:row>
      <xdr:rowOff>0</xdr:rowOff>
    </xdr:from>
    <xdr:to>
      <xdr:col>13</xdr:col>
      <xdr:colOff>1043940</xdr:colOff>
      <xdr:row>15</xdr:row>
      <xdr:rowOff>45720</xdr:rowOff>
    </xdr:to>
    <xdr:sp macro="" textlink="">
      <xdr:nvSpPr>
        <xdr:cNvPr id="23" name="Rectangle: Top Corners Rounded 22">
          <a:extLst>
            <a:ext uri="{FF2B5EF4-FFF2-40B4-BE49-F238E27FC236}">
              <a16:creationId xmlns:a16="http://schemas.microsoft.com/office/drawing/2014/main" id="{745D79C1-4A2C-40D6-92B8-B89B22ADF6C1}"/>
            </a:ext>
          </a:extLst>
        </xdr:cNvPr>
        <xdr:cNvSpPr/>
      </xdr:nvSpPr>
      <xdr:spPr>
        <a:xfrm>
          <a:off x="11064240" y="2377440"/>
          <a:ext cx="1920240" cy="41148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12</xdr:col>
          <xdr:colOff>297180</xdr:colOff>
          <xdr:row>13</xdr:row>
          <xdr:rowOff>106680</xdr:rowOff>
        </xdr:from>
        <xdr:to>
          <xdr:col>13</xdr:col>
          <xdr:colOff>609600</xdr:colOff>
          <xdr:row>14</xdr:row>
          <xdr:rowOff>144780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PAYMENT STATUS</a:t>
              </a:r>
            </a:p>
          </xdr:txBody>
        </xdr:sp>
        <xdr:clientData/>
      </xdr:twoCellAnchor>
    </mc:Choice>
    <mc:Fallback/>
  </mc:AlternateContent>
  <xdr:twoCellAnchor>
    <xdr:from>
      <xdr:col>0</xdr:col>
      <xdr:colOff>1074420</xdr:colOff>
      <xdr:row>6</xdr:row>
      <xdr:rowOff>76200</xdr:rowOff>
    </xdr:from>
    <xdr:to>
      <xdr:col>0</xdr:col>
      <xdr:colOff>1348740</xdr:colOff>
      <xdr:row>6</xdr:row>
      <xdr:rowOff>121919</xdr:rowOff>
    </xdr:to>
    <xdr:sp macro="" textlink="">
      <xdr:nvSpPr>
        <xdr:cNvPr id="3" name="Arrow: Right 2">
          <a:extLst>
            <a:ext uri="{FF2B5EF4-FFF2-40B4-BE49-F238E27FC236}">
              <a16:creationId xmlns:a16="http://schemas.microsoft.com/office/drawing/2014/main" id="{B908B3C2-DF26-22C6-D69E-B66F290151EF}"/>
            </a:ext>
          </a:extLst>
        </xdr:cNvPr>
        <xdr:cNvSpPr/>
      </xdr:nvSpPr>
      <xdr:spPr>
        <a:xfrm>
          <a:off x="1074420" y="1173480"/>
          <a:ext cx="274320"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342900</xdr:colOff>
      <xdr:row>6</xdr:row>
      <xdr:rowOff>99060</xdr:rowOff>
    </xdr:from>
    <xdr:to>
      <xdr:col>4</xdr:col>
      <xdr:colOff>617220</xdr:colOff>
      <xdr:row>6</xdr:row>
      <xdr:rowOff>144779</xdr:rowOff>
    </xdr:to>
    <xdr:sp macro="" textlink="">
      <xdr:nvSpPr>
        <xdr:cNvPr id="4" name="Arrow: Right 3">
          <a:extLst>
            <a:ext uri="{FF2B5EF4-FFF2-40B4-BE49-F238E27FC236}">
              <a16:creationId xmlns:a16="http://schemas.microsoft.com/office/drawing/2014/main" id="{E9A4689C-E99C-4C91-983A-B1BFE8114992}"/>
            </a:ext>
          </a:extLst>
        </xdr:cNvPr>
        <xdr:cNvSpPr/>
      </xdr:nvSpPr>
      <xdr:spPr>
        <a:xfrm>
          <a:off x="4686300" y="1196340"/>
          <a:ext cx="274320"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434340</xdr:colOff>
      <xdr:row>6</xdr:row>
      <xdr:rowOff>99060</xdr:rowOff>
    </xdr:from>
    <xdr:to>
      <xdr:col>9</xdr:col>
      <xdr:colOff>708660</xdr:colOff>
      <xdr:row>6</xdr:row>
      <xdr:rowOff>144779</xdr:rowOff>
    </xdr:to>
    <xdr:sp macro="" textlink="">
      <xdr:nvSpPr>
        <xdr:cNvPr id="5" name="Arrow: Right 4">
          <a:extLst>
            <a:ext uri="{FF2B5EF4-FFF2-40B4-BE49-F238E27FC236}">
              <a16:creationId xmlns:a16="http://schemas.microsoft.com/office/drawing/2014/main" id="{D6209796-2E1E-4DE8-A25A-C3236067AF95}"/>
            </a:ext>
          </a:extLst>
        </xdr:cNvPr>
        <xdr:cNvSpPr/>
      </xdr:nvSpPr>
      <xdr:spPr>
        <a:xfrm>
          <a:off x="9121140" y="1196340"/>
          <a:ext cx="274320"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41.404"/>
    </inkml:context>
    <inkml:brush xml:id="br0">
      <inkml:brushProperty name="width" value="0.05" units="cm"/>
      <inkml:brushProperty name="height" value="0.05" units="cm"/>
      <inkml:brushProperty name="color" value="#DA0C07"/>
      <inkml:brushProperty name="inkEffects" value="lava"/>
      <inkml:brushProperty name="anchorX" value="-1165.42761"/>
      <inkml:brushProperty name="anchorY" value="-1950.87195"/>
      <inkml:brushProperty name="scaleFactor" value="0.5"/>
    </inkml:brush>
  </inkml:definitions>
  <inkml:trace contextRef="#ctx0" brushRef="#br0">1 0 24575,'0'0'0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43.594"/>
    </inkml:context>
    <inkml:brush xml:id="br0">
      <inkml:brushProperty name="width" value="0.05" units="cm"/>
      <inkml:brushProperty name="height" value="0.05" units="cm"/>
      <inkml:brushProperty name="color" value="#DA0C07"/>
      <inkml:brushProperty name="inkEffects" value="lava"/>
      <inkml:brushProperty name="anchorX" value="-2181.42749"/>
      <inkml:brushProperty name="anchorY" value="-2966.87183"/>
      <inkml:brushProperty name="scaleFactor" value="0.5"/>
    </inkml:brush>
  </inkml:definitions>
  <inkml:trace contextRef="#ctx0" brushRef="#br0">1 0 24575,'0'0'0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44.983"/>
    </inkml:context>
    <inkml:brush xml:id="br0">
      <inkml:brushProperty name="width" value="0.05" units="cm"/>
      <inkml:brushProperty name="height" value="0.05" units="cm"/>
      <inkml:brushProperty name="color" value="#DA0C07"/>
      <inkml:brushProperty name="inkEffects" value="lava"/>
      <inkml:brushProperty name="anchorX" value="-3197.42773"/>
      <inkml:brushProperty name="anchorY" value="-3982.87183"/>
      <inkml:brushProperty name="scaleFactor" value="0.5"/>
    </inkml:brush>
  </inkml:definitions>
  <inkml:trace contextRef="#ctx0" brushRef="#br0">1 0 24575,'0'0'0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46.426"/>
    </inkml:context>
    <inkml:brush xml:id="br0">
      <inkml:brushProperty name="width" value="0.05" units="cm"/>
      <inkml:brushProperty name="height" value="0.05" units="cm"/>
      <inkml:brushProperty name="color" value="#DA0C07"/>
      <inkml:brushProperty name="inkEffects" value="lava"/>
      <inkml:brushProperty name="anchorX" value="-4213.42773"/>
      <inkml:brushProperty name="anchorY" value="-4998.87207"/>
      <inkml:brushProperty name="scaleFactor" value="0.5"/>
    </inkml:brush>
  </inkml:definitions>
  <inkml:trace contextRef="#ctx0" brushRef="#br0">1 0 24575,'0'0'0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48.263"/>
    </inkml:context>
    <inkml:brush xml:id="br0">
      <inkml:brushProperty name="width" value="0.05" units="cm"/>
      <inkml:brushProperty name="height" value="0.05" units="cm"/>
      <inkml:brushProperty name="color" value="#DA0C07"/>
      <inkml:brushProperty name="inkEffects" value="lava"/>
      <inkml:brushProperty name="anchorX" value="-5229.42773"/>
      <inkml:brushProperty name="anchorY" value="-6014.87207"/>
      <inkml:brushProperty name="scaleFactor" value="0.5"/>
    </inkml:brush>
  </inkml:definitions>
  <inkml:trace contextRef="#ctx0" brushRef="#br0">1 0 24575,'0'0'0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49.798"/>
    </inkml:context>
    <inkml:brush xml:id="br0">
      <inkml:brushProperty name="width" value="0.05" units="cm"/>
      <inkml:brushProperty name="height" value="0.05" units="cm"/>
      <inkml:brushProperty name="color" value="#DA0C07"/>
      <inkml:brushProperty name="inkEffects" value="lava"/>
      <inkml:brushProperty name="anchorX" value="-6245.42773"/>
      <inkml:brushProperty name="anchorY" value="-7030.87207"/>
      <inkml:brushProperty name="scaleFactor" value="0.5"/>
    </inkml:brush>
  </inkml:definitions>
  <inkml:trace contextRef="#ctx0" brushRef="#br0">1 0 24575,'0'0'0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1.272"/>
    </inkml:context>
    <inkml:brush xml:id="br0">
      <inkml:brushProperty name="width" value="0.05" units="cm"/>
      <inkml:brushProperty name="height" value="0.05" units="cm"/>
      <inkml:brushProperty name="color" value="#DA0C07"/>
      <inkml:brushProperty name="inkEffects" value="lava"/>
      <inkml:brushProperty name="anchorX" value="-7261.42822"/>
      <inkml:brushProperty name="anchorY" value="-8046.87207"/>
      <inkml:brushProperty name="scaleFactor" value="0.5"/>
    </inkml:brush>
  </inkml:definitions>
  <inkml:trace contextRef="#ctx0" brushRef="#br0">1 0 24575,'0'0'0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3.117"/>
    </inkml:context>
    <inkml:brush xml:id="br0">
      <inkml:brushProperty name="width" value="0.05" units="cm"/>
      <inkml:brushProperty name="height" value="0.05" units="cm"/>
      <inkml:brushProperty name="color" value="#DA0C07"/>
      <inkml:brushProperty name="inkEffects" value="lava"/>
      <inkml:brushProperty name="anchorX" value="-8277.42871"/>
      <inkml:brushProperty name="anchorY" value="-9062.87207"/>
      <inkml:brushProperty name="scaleFactor" value="0.5"/>
    </inkml:brush>
  </inkml:definitions>
  <inkml:trace contextRef="#ctx0" brushRef="#br0">1 0 24575,'0'0'0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4.390"/>
    </inkml:context>
    <inkml:brush xml:id="br0">
      <inkml:brushProperty name="width" value="0.05" units="cm"/>
      <inkml:brushProperty name="height" value="0.05" units="cm"/>
      <inkml:brushProperty name="color" value="#DA0C07"/>
      <inkml:brushProperty name="inkEffects" value="lava"/>
      <inkml:brushProperty name="anchorX" value="-9293.42871"/>
      <inkml:brushProperty name="anchorY" value="-10078.87207"/>
      <inkml:brushProperty name="scaleFactor" value="0.5"/>
    </inkml:brush>
  </inkml:definitions>
  <inkml:trace contextRef="#ctx0" brushRef="#br0">1 0 24575,'0'0'0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5.648"/>
    </inkml:context>
    <inkml:brush xml:id="br0">
      <inkml:brushProperty name="width" value="0.05" units="cm"/>
      <inkml:brushProperty name="height" value="0.05" units="cm"/>
      <inkml:brushProperty name="color" value="#DA0C07"/>
      <inkml:brushProperty name="inkEffects" value="lava"/>
      <inkml:brushProperty name="anchorX" value="-10309.42871"/>
      <inkml:brushProperty name="anchorY" value="-11094.87207"/>
      <inkml:brushProperty name="scaleFactor" value="0.5"/>
    </inkml:brush>
  </inkml:definitions>
  <inkml:trace contextRef="#ctx0" brushRef="#br0">1 0 24575,'0'0'0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6.867"/>
    </inkml:context>
    <inkml:brush xml:id="br0">
      <inkml:brushProperty name="width" value="0.05" units="cm"/>
      <inkml:brushProperty name="height" value="0.05" units="cm"/>
      <inkml:brushProperty name="color" value="#DA0C07"/>
      <inkml:brushProperty name="inkEffects" value="lava"/>
      <inkml:brushProperty name="anchorX" value="-11325.42871"/>
      <inkml:brushProperty name="anchorY" value="-12110.87207"/>
      <inkml:brushProperty name="scaleFactor" value="0.5"/>
    </inkml:brush>
  </inkml:definitions>
  <inkml:trace contextRef="#ctx0" brushRef="#br0">1 0 24575,'0'0'0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8.039"/>
    </inkml:context>
    <inkml:brush xml:id="br0">
      <inkml:brushProperty name="width" value="0.05" units="cm"/>
      <inkml:brushProperty name="height" value="0.05" units="cm"/>
      <inkml:brushProperty name="color" value="#DA0C07"/>
      <inkml:brushProperty name="inkEffects" value="lava"/>
      <inkml:brushProperty name="anchorX" value="-12341.42871"/>
      <inkml:brushProperty name="anchorY" value="-13126.87207"/>
      <inkml:brushProperty name="scaleFactor" value="0.5"/>
    </inkml:brush>
  </inkml:definitions>
  <inkml:trace contextRef="#ctx0" brushRef="#br0">1 0 24575,'0'0'0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5:59.135"/>
    </inkml:context>
    <inkml:brush xml:id="br0">
      <inkml:brushProperty name="width" value="0.05" units="cm"/>
      <inkml:brushProperty name="height" value="0.05" units="cm"/>
      <inkml:brushProperty name="color" value="#DA0C07"/>
      <inkml:brushProperty name="inkEffects" value="lava"/>
      <inkml:brushProperty name="anchorX" value="-13357.42871"/>
      <inkml:brushProperty name="anchorY" value="-14142.87207"/>
      <inkml:brushProperty name="scaleFactor" value="0.5"/>
    </inkml:brush>
  </inkml:definitions>
  <inkml:trace contextRef="#ctx0" brushRef="#br0">1 0 24575,'0'0'0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0.069"/>
    </inkml:context>
    <inkml:brush xml:id="br0">
      <inkml:brushProperty name="width" value="0.05" units="cm"/>
      <inkml:brushProperty name="height" value="0.05" units="cm"/>
      <inkml:brushProperty name="color" value="#DA0C07"/>
      <inkml:brushProperty name="inkEffects" value="lava"/>
      <inkml:brushProperty name="anchorX" value="-14373.42871"/>
      <inkml:brushProperty name="anchorY" value="-15158.87207"/>
      <inkml:brushProperty name="scaleFactor" value="0.5"/>
    </inkml:brush>
  </inkml:definitions>
  <inkml:trace contextRef="#ctx0" brushRef="#br0">1 0 24575,'0'0'0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1.218"/>
    </inkml:context>
    <inkml:brush xml:id="br0">
      <inkml:brushProperty name="width" value="0.05" units="cm"/>
      <inkml:brushProperty name="height" value="0.05" units="cm"/>
      <inkml:brushProperty name="color" value="#DA0C07"/>
      <inkml:brushProperty name="inkEffects" value="lava"/>
      <inkml:brushProperty name="anchorX" value="-15389.42871"/>
      <inkml:brushProperty name="anchorY" value="-16174.87207"/>
      <inkml:brushProperty name="scaleFactor" value="0.5"/>
    </inkml:brush>
  </inkml:definitions>
  <inkml:trace contextRef="#ctx0" brushRef="#br0">1 0 24575,'0'0'0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2.445"/>
    </inkml:context>
    <inkml:brush xml:id="br0">
      <inkml:brushProperty name="width" value="0.05" units="cm"/>
      <inkml:brushProperty name="height" value="0.05" units="cm"/>
      <inkml:brushProperty name="color" value="#DA0C07"/>
      <inkml:brushProperty name="inkEffects" value="lava"/>
      <inkml:brushProperty name="anchorX" value="-16405.42773"/>
      <inkml:brushProperty name="anchorY" value="-17190.87305"/>
      <inkml:brushProperty name="scaleFactor" value="0.5"/>
    </inkml:brush>
  </inkml:definitions>
  <inkml:trace contextRef="#ctx0" brushRef="#br0">1 0 24575,'0'0'0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3.310"/>
    </inkml:context>
    <inkml:brush xml:id="br0">
      <inkml:brushProperty name="width" value="0.05" units="cm"/>
      <inkml:brushProperty name="height" value="0.05" units="cm"/>
      <inkml:brushProperty name="color" value="#DA0C07"/>
      <inkml:brushProperty name="inkEffects" value="lava"/>
      <inkml:brushProperty name="anchorX" value="-17421.42773"/>
      <inkml:brushProperty name="anchorY" value="-18206.87305"/>
      <inkml:brushProperty name="scaleFactor" value="0.5"/>
    </inkml:brush>
  </inkml:definitions>
  <inkml:trace contextRef="#ctx0" brushRef="#br0">1 0 24575,'0'0'0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5.061"/>
    </inkml:context>
    <inkml:brush xml:id="br0">
      <inkml:brushProperty name="width" value="0.05" units="cm"/>
      <inkml:brushProperty name="height" value="0.05" units="cm"/>
      <inkml:brushProperty name="color" value="#DA0C07"/>
      <inkml:brushProperty name="inkEffects" value="lava"/>
      <inkml:brushProperty name="anchorX" value="-18437.42773"/>
      <inkml:brushProperty name="anchorY" value="-19222.87305"/>
      <inkml:brushProperty name="scaleFactor" value="0.5"/>
    </inkml:brush>
  </inkml:definitions>
  <inkml:trace contextRef="#ctx0" brushRef="#br0">1 0 24575,'0'0'0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6.064"/>
    </inkml:context>
    <inkml:brush xml:id="br0">
      <inkml:brushProperty name="width" value="0.05" units="cm"/>
      <inkml:brushProperty name="height" value="0.05" units="cm"/>
      <inkml:brushProperty name="color" value="#DA0C07"/>
      <inkml:brushProperty name="inkEffects" value="lava"/>
      <inkml:brushProperty name="anchorX" value="-19453.42773"/>
      <inkml:brushProperty name="anchorY" value="-20238.87305"/>
      <inkml:brushProperty name="scaleFactor" value="0.5"/>
    </inkml:brush>
  </inkml:definitions>
  <inkml:trace contextRef="#ctx0" brushRef="#br0">1 0 24575,'0'0'0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08.774"/>
    </inkml:context>
    <inkml:brush xml:id="br0">
      <inkml:brushProperty name="width" value="0.05" units="cm"/>
      <inkml:brushProperty name="height" value="0.05" units="cm"/>
      <inkml:brushProperty name="color" value="#DA0C07"/>
      <inkml:brushProperty name="inkEffects" value="lava"/>
      <inkml:brushProperty name="anchorX" value="-20469.42773"/>
      <inkml:brushProperty name="anchorY" value="-21254.87305"/>
      <inkml:brushProperty name="scaleFactor" value="0.5"/>
    </inkml:brush>
  </inkml:definitions>
  <inkml:trace contextRef="#ctx0" brushRef="#br0">1 0 24575,'0'0'0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2.584"/>
    </inkml:context>
    <inkml:brush xml:id="br0">
      <inkml:brushProperty name="width" value="0.05" units="cm"/>
      <inkml:brushProperty name="height" value="0.05" units="cm"/>
      <inkml:brushProperty name="color" value="#DA0C07"/>
      <inkml:brushProperty name="inkEffects" value="lava"/>
      <inkml:brushProperty name="anchorX" value="-21485.42773"/>
      <inkml:brushProperty name="anchorY" value="-22270.87305"/>
      <inkml:brushProperty name="scaleFactor" value="0.5"/>
    </inkml:brush>
  </inkml:definitions>
  <inkml:trace contextRef="#ctx0" brushRef="#br0">0 0 24575,'0'0'0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3.480"/>
    </inkml:context>
    <inkml:brush xml:id="br0">
      <inkml:brushProperty name="width" value="0.05" units="cm"/>
      <inkml:brushProperty name="height" value="0.05" units="cm"/>
      <inkml:brushProperty name="color" value="#DA0C07"/>
      <inkml:brushProperty name="inkEffects" value="lava"/>
      <inkml:brushProperty name="anchorX" value="-22501.42773"/>
      <inkml:brushProperty name="anchorY" value="-23286.87305"/>
      <inkml:brushProperty name="scaleFactor" value="0.5"/>
    </inkml:brush>
  </inkml:definitions>
  <inkml:trace contextRef="#ctx0" brushRef="#br0">1 0 24575,'0'0'0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4.314"/>
    </inkml:context>
    <inkml:brush xml:id="br0">
      <inkml:brushProperty name="width" value="0.05" units="cm"/>
      <inkml:brushProperty name="height" value="0.05" units="cm"/>
      <inkml:brushProperty name="color" value="#DA0C07"/>
      <inkml:brushProperty name="inkEffects" value="lava"/>
      <inkml:brushProperty name="anchorX" value="-23517.42773"/>
      <inkml:brushProperty name="anchorY" value="-24302.87305"/>
      <inkml:brushProperty name="scaleFactor" value="0.5"/>
    </inkml:brush>
  </inkml:definitions>
  <inkml:trace contextRef="#ctx0" brushRef="#br0">1 0 24575,'0'0'0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5.116"/>
    </inkml:context>
    <inkml:brush xml:id="br0">
      <inkml:brushProperty name="width" value="0.05" units="cm"/>
      <inkml:brushProperty name="height" value="0.05" units="cm"/>
      <inkml:brushProperty name="color" value="#DA0C07"/>
      <inkml:brushProperty name="inkEffects" value="lava"/>
      <inkml:brushProperty name="anchorX" value="-24533.42773"/>
      <inkml:brushProperty name="anchorY" value="-25318.87305"/>
      <inkml:brushProperty name="scaleFactor" value="0.5"/>
    </inkml:brush>
  </inkml:definitions>
  <inkml:trace contextRef="#ctx0" brushRef="#br0">1 0 24575,'0'0'0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6.135"/>
    </inkml:context>
    <inkml:brush xml:id="br0">
      <inkml:brushProperty name="width" value="0.05" units="cm"/>
      <inkml:brushProperty name="height" value="0.05" units="cm"/>
      <inkml:brushProperty name="color" value="#DA0C07"/>
      <inkml:brushProperty name="inkEffects" value="lava"/>
      <inkml:brushProperty name="anchorX" value="-25549.42773"/>
      <inkml:brushProperty name="anchorY" value="-26334.875"/>
      <inkml:brushProperty name="scaleFactor" value="0.5"/>
    </inkml:brush>
  </inkml:definitions>
  <inkml:trace contextRef="#ctx0" brushRef="#br0">1 0 24575,'0'0'0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7.106"/>
    </inkml:context>
    <inkml:brush xml:id="br0">
      <inkml:brushProperty name="width" value="0.05" units="cm"/>
      <inkml:brushProperty name="height" value="0.05" units="cm"/>
      <inkml:brushProperty name="color" value="#DA0C07"/>
      <inkml:brushProperty name="inkEffects" value="lava"/>
      <inkml:brushProperty name="anchorX" value="-26565.42773"/>
      <inkml:brushProperty name="anchorY" value="-27350.875"/>
      <inkml:brushProperty name="scaleFactor" value="0.5"/>
    </inkml:brush>
  </inkml:definitions>
  <inkml:trace contextRef="#ctx0" brushRef="#br0">1 0 24575,'0'0'0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8.071"/>
    </inkml:context>
    <inkml:brush xml:id="br0">
      <inkml:brushProperty name="width" value="0.05" units="cm"/>
      <inkml:brushProperty name="height" value="0.05" units="cm"/>
      <inkml:brushProperty name="color" value="#DA0C07"/>
      <inkml:brushProperty name="inkEffects" value="lava"/>
      <inkml:brushProperty name="anchorX" value="-27581.42773"/>
      <inkml:brushProperty name="anchorY" value="-28366.875"/>
      <inkml:brushProperty name="scaleFactor" value="0.5"/>
    </inkml:brush>
  </inkml:definitions>
  <inkml:trace contextRef="#ctx0" brushRef="#br0">1 0 24575,'0'0'0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8.966"/>
    </inkml:context>
    <inkml:brush xml:id="br0">
      <inkml:brushProperty name="width" value="0.05" units="cm"/>
      <inkml:brushProperty name="height" value="0.05" units="cm"/>
      <inkml:brushProperty name="color" value="#DA0C07"/>
      <inkml:brushProperty name="inkEffects" value="lava"/>
      <inkml:brushProperty name="anchorX" value="-28597.42773"/>
      <inkml:brushProperty name="anchorY" value="-29382.875"/>
      <inkml:brushProperty name="scaleFactor" value="0.5"/>
    </inkml:brush>
  </inkml:definitions>
  <inkml:trace contextRef="#ctx0" brushRef="#br0">1 0 24575,'0'0'0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19.791"/>
    </inkml:context>
    <inkml:brush xml:id="br0">
      <inkml:brushProperty name="width" value="0.05" units="cm"/>
      <inkml:brushProperty name="height" value="0.05" units="cm"/>
      <inkml:brushProperty name="color" value="#DA0C07"/>
      <inkml:brushProperty name="inkEffects" value="lava"/>
      <inkml:brushProperty name="anchorX" value="-29613.42773"/>
      <inkml:brushProperty name="anchorY" value="-30398.875"/>
      <inkml:brushProperty name="scaleFactor" value="0.5"/>
    </inkml:brush>
  </inkml:definitions>
  <inkml:trace contextRef="#ctx0" brushRef="#br0">1 0 24575,'0'0'0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20.663"/>
    </inkml:context>
    <inkml:brush xml:id="br0">
      <inkml:brushProperty name="width" value="0.05" units="cm"/>
      <inkml:brushProperty name="height" value="0.05" units="cm"/>
      <inkml:brushProperty name="color" value="#DA0C07"/>
      <inkml:brushProperty name="inkEffects" value="lava"/>
      <inkml:brushProperty name="anchorX" value="-30629.42773"/>
      <inkml:brushProperty name="anchorY" value="-31414.875"/>
      <inkml:brushProperty name="scaleFactor" value="0.5"/>
    </inkml:brush>
  </inkml:definitions>
  <inkml:trace contextRef="#ctx0" brushRef="#br0">1 0 24575,'0'0'0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21.505"/>
    </inkml:context>
    <inkml:brush xml:id="br0">
      <inkml:brushProperty name="width" value="0.05" units="cm"/>
      <inkml:brushProperty name="height" value="0.05" units="cm"/>
      <inkml:brushProperty name="color" value="#DA0C07"/>
      <inkml:brushProperty name="inkEffects" value="lava"/>
      <inkml:brushProperty name="anchorX" value="-31645.42773"/>
      <inkml:brushProperty name="anchorY" value="-32430.875"/>
      <inkml:brushProperty name="scaleFactor" value="0.5"/>
    </inkml:brush>
  </inkml:definitions>
  <inkml:trace contextRef="#ctx0" brushRef="#br0">1 0 24575,'0'0'0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22.454"/>
    </inkml:context>
    <inkml:brush xml:id="br0">
      <inkml:brushProperty name="width" value="0.05" units="cm"/>
      <inkml:brushProperty name="height" value="0.05" units="cm"/>
      <inkml:brushProperty name="color" value="#DA0C07"/>
      <inkml:brushProperty name="inkEffects" value="lava"/>
      <inkml:brushProperty name="anchorX" value="-32661.42773"/>
      <inkml:brushProperty name="anchorY" value="-33446.875"/>
      <inkml:brushProperty name="scaleFactor" value="0.5"/>
    </inkml:brush>
  </inkml:definitions>
  <inkml:trace contextRef="#ctx0" brushRef="#br0">1 0 24575,'0'0'0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23.395"/>
    </inkml:context>
    <inkml:brush xml:id="br0">
      <inkml:brushProperty name="width" value="0.05" units="cm"/>
      <inkml:brushProperty name="height" value="0.05" units="cm"/>
      <inkml:brushProperty name="color" value="#DA0C07"/>
      <inkml:brushProperty name="inkEffects" value="lava"/>
      <inkml:brushProperty name="anchorX" value="-33677.42969"/>
      <inkml:brushProperty name="anchorY" value="-34462.875"/>
      <inkml:brushProperty name="scaleFactor" value="0.5"/>
    </inkml:brush>
  </inkml:definitions>
  <inkml:trace contextRef="#ctx0" brushRef="#br0">1 0 24575,'0'0'0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5:46:24.514"/>
    </inkml:context>
    <inkml:brush xml:id="br0">
      <inkml:brushProperty name="width" value="0.05" units="cm"/>
      <inkml:brushProperty name="height" value="0.05" units="cm"/>
      <inkml:brushProperty name="color" value="#DA0C07"/>
      <inkml:brushProperty name="inkEffects" value="lava"/>
      <inkml:brushProperty name="anchorX" value="-34693.42969"/>
      <inkml:brushProperty name="anchorY" value="-35478.875"/>
      <inkml:brushProperty name="scaleFactor" value="0.5"/>
    </inkml:brush>
  </inkml:definitions>
  <inkml:trace contextRef="#ctx0" brushRef="#br0">1 0 24575,'0'0'0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49.973"/>
    </inkml:context>
    <inkml:brush xml:id="br0">
      <inkml:brushProperty name="width" value="0.05" units="cm"/>
      <inkml:brushProperty name="height" value="0.05" units="cm"/>
      <inkml:brushProperty name="color" value="#DA0C07"/>
      <inkml:brushProperty name="inkEffects" value="lava"/>
      <inkml:brushProperty name="anchorX" value="-44853.42969"/>
      <inkml:brushProperty name="anchorY" value="-45638.875"/>
      <inkml:brushProperty name="scaleFactor" value="0.5"/>
    </inkml:brush>
  </inkml:definitions>
  <inkml:trace contextRef="#ctx0" brushRef="#br0">1 0 24575,'0'0'0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0.967"/>
    </inkml:context>
    <inkml:brush xml:id="br0">
      <inkml:brushProperty name="width" value="0.05" units="cm"/>
      <inkml:brushProperty name="height" value="0.05" units="cm"/>
      <inkml:brushProperty name="color" value="#DA0C07"/>
      <inkml:brushProperty name="inkEffects" value="lava"/>
      <inkml:brushProperty name="anchorX" value="-45869.42969"/>
      <inkml:brushProperty name="anchorY" value="-46654.875"/>
      <inkml:brushProperty name="scaleFactor" value="0.5"/>
    </inkml:brush>
  </inkml:definitions>
  <inkml:trace contextRef="#ctx0" brushRef="#br0">1 0 24575,'0'0'0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1.839"/>
    </inkml:context>
    <inkml:brush xml:id="br0">
      <inkml:brushProperty name="width" value="0.05" units="cm"/>
      <inkml:brushProperty name="height" value="0.05" units="cm"/>
      <inkml:brushProperty name="color" value="#DA0C07"/>
      <inkml:brushProperty name="inkEffects" value="lava"/>
      <inkml:brushProperty name="anchorX" value="-46885.42969"/>
      <inkml:brushProperty name="anchorY" value="-47670.875"/>
      <inkml:brushProperty name="scaleFactor" value="0.5"/>
    </inkml:brush>
  </inkml:definitions>
  <inkml:trace contextRef="#ctx0" brushRef="#br0">1 0 24575,'0'0'0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3.607"/>
    </inkml:context>
    <inkml:brush xml:id="br0">
      <inkml:brushProperty name="width" value="0.05" units="cm"/>
      <inkml:brushProperty name="height" value="0.05" units="cm"/>
      <inkml:brushProperty name="color" value="#DA0C07"/>
      <inkml:brushProperty name="inkEffects" value="lava"/>
      <inkml:brushProperty name="anchorX" value="-47901.42969"/>
      <inkml:brushProperty name="anchorY" value="-48686.875"/>
      <inkml:brushProperty name="scaleFactor" value="0.5"/>
    </inkml:brush>
  </inkml:definitions>
  <inkml:trace contextRef="#ctx0" brushRef="#br0">1 0 24575,'0'0'0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4.634"/>
    </inkml:context>
    <inkml:brush xml:id="br0">
      <inkml:brushProperty name="width" value="0.05" units="cm"/>
      <inkml:brushProperty name="height" value="0.05" units="cm"/>
      <inkml:brushProperty name="color" value="#DA0C07"/>
      <inkml:brushProperty name="inkEffects" value="lava"/>
      <inkml:brushProperty name="anchorX" value="-48917.42969"/>
      <inkml:brushProperty name="anchorY" value="-49702.875"/>
      <inkml:brushProperty name="scaleFactor" value="0.5"/>
    </inkml:brush>
  </inkml:definitions>
  <inkml:trace contextRef="#ctx0" brushRef="#br0">1 0 24575,'0'0'0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5.612"/>
    </inkml:context>
    <inkml:brush xml:id="br0">
      <inkml:brushProperty name="width" value="0.05" units="cm"/>
      <inkml:brushProperty name="height" value="0.05" units="cm"/>
      <inkml:brushProperty name="color" value="#DA0C07"/>
      <inkml:brushProperty name="inkEffects" value="lava"/>
      <inkml:brushProperty name="anchorX" value="-49933.42969"/>
      <inkml:brushProperty name="anchorY" value="-50718.875"/>
      <inkml:brushProperty name="scaleFactor" value="0.5"/>
    </inkml:brush>
  </inkml:definitions>
  <inkml:trace contextRef="#ctx0" brushRef="#br0">1 0 24575,'0'0'0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6.477"/>
    </inkml:context>
    <inkml:brush xml:id="br0">
      <inkml:brushProperty name="width" value="0.05" units="cm"/>
      <inkml:brushProperty name="height" value="0.05" units="cm"/>
      <inkml:brushProperty name="color" value="#DA0C07"/>
      <inkml:brushProperty name="inkEffects" value="lava"/>
      <inkml:brushProperty name="anchorX" value="-50949.42969"/>
      <inkml:brushProperty name="anchorY" value="-51734.875"/>
      <inkml:brushProperty name="scaleFactor" value="0.5"/>
    </inkml:brush>
  </inkml:definitions>
  <inkml:trace contextRef="#ctx0" brushRef="#br0">1 0 24575,'0'0'0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8.259"/>
    </inkml:context>
    <inkml:brush xml:id="br0">
      <inkml:brushProperty name="width" value="0.05" units="cm"/>
      <inkml:brushProperty name="height" value="0.05" units="cm"/>
      <inkml:brushProperty name="color" value="#DA0C07"/>
      <inkml:brushProperty name="inkEffects" value="lava"/>
      <inkml:brushProperty name="anchorX" value="-51965.42969"/>
      <inkml:brushProperty name="anchorY" value="-52750.875"/>
      <inkml:brushProperty name="scaleFactor" value="0.5"/>
    </inkml:brush>
  </inkml:definitions>
  <inkml:trace contextRef="#ctx0" brushRef="#br0">1 0 24575,'0'0'0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2:59.247"/>
    </inkml:context>
    <inkml:brush xml:id="br0">
      <inkml:brushProperty name="width" value="0.05" units="cm"/>
      <inkml:brushProperty name="height" value="0.05" units="cm"/>
      <inkml:brushProperty name="color" value="#DA0C07"/>
      <inkml:brushProperty name="inkEffects" value="lava"/>
      <inkml:brushProperty name="anchorX" value="-52981.43359"/>
      <inkml:brushProperty name="anchorY" value="-53766.875"/>
      <inkml:brushProperty name="scaleFactor" value="0.5"/>
    </inkml:brush>
  </inkml:definitions>
  <inkml:trace contextRef="#ctx0" brushRef="#br0">1 0 24575,'0'0'0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3:00.166"/>
    </inkml:context>
    <inkml:brush xml:id="br0">
      <inkml:brushProperty name="width" value="0.05" units="cm"/>
      <inkml:brushProperty name="height" value="0.05" units="cm"/>
      <inkml:brushProperty name="color" value="#DA0C07"/>
      <inkml:brushProperty name="inkEffects" value="lava"/>
      <inkml:brushProperty name="anchorX" value="-53997.43359"/>
      <inkml:brushProperty name="anchorY" value="-54782.875"/>
      <inkml:brushProperty name="scaleFactor" value="0.5"/>
    </inkml:brush>
  </inkml:definitions>
  <inkml:trace contextRef="#ctx0" brushRef="#br0">1 0 24575,'0'0'0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3:01.639"/>
    </inkml:context>
    <inkml:brush xml:id="br0">
      <inkml:brushProperty name="width" value="0.05" units="cm"/>
      <inkml:brushProperty name="height" value="0.05" units="cm"/>
      <inkml:brushProperty name="color" value="#DA0C07"/>
      <inkml:brushProperty name="inkEffects" value="lava"/>
      <inkml:brushProperty name="anchorX" value="-55013.43359"/>
      <inkml:brushProperty name="anchorY" value="-55798.875"/>
      <inkml:brushProperty name="scaleFactor" value="0.5"/>
    </inkml:brush>
  </inkml:definitions>
  <inkml:trace contextRef="#ctx0" brushRef="#br0">1 0 24575,'0'0'0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3:03.198"/>
    </inkml:context>
    <inkml:brush xml:id="br0">
      <inkml:brushProperty name="width" value="0.05" units="cm"/>
      <inkml:brushProperty name="height" value="0.05" units="cm"/>
      <inkml:brushProperty name="color" value="#DA0C07"/>
      <inkml:brushProperty name="inkEffects" value="lava"/>
      <inkml:brushProperty name="anchorX" value="-56029.43359"/>
      <inkml:brushProperty name="anchorY" value="-56814.875"/>
      <inkml:brushProperty name="scaleFactor" value="0.5"/>
    </inkml:brush>
  </inkml:definitions>
  <inkml:trace contextRef="#ctx0" brushRef="#br0">1 0 24575,'0'0'0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6-06T06:03:04.193"/>
    </inkml:context>
    <inkml:brush xml:id="br0">
      <inkml:brushProperty name="width" value="0.05" units="cm"/>
      <inkml:brushProperty name="height" value="0.05" units="cm"/>
      <inkml:brushProperty name="color" value="#DA0C07"/>
      <inkml:brushProperty name="inkEffects" value="lava"/>
      <inkml:brushProperty name="anchorX" value="-57045.43359"/>
      <inkml:brushProperty name="anchorY" value="-57830.875"/>
      <inkml:brushProperty name="scaleFactor" value="0.5"/>
    </inkml:brush>
  </inkml:definitions>
  <inkml:trace contextRef="#ctx0" brushRef="#br0">1 0 24575,'0'0'0</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peksha tiwary" refreshedDate="46178.533734606484" createdVersion="8" refreshedVersion="8" minRefreshableVersion="3" recordCount="450" xr:uid="{AE4718ED-02B8-42F2-AF5B-910BF9D52E2E}">
  <cacheSource type="worksheet">
    <worksheetSource name="tblbills"/>
  </cacheSource>
  <cacheFields count="15">
    <cacheField name="Product ID" numFmtId="0">
      <sharedItems/>
    </cacheField>
    <cacheField name="Subsystems" numFmtId="0">
      <sharedItems count="5">
        <s v="Brakes"/>
        <s v="Powertrain"/>
        <s v="Rollcage"/>
        <s v="Steering"/>
        <s v="Suspension"/>
      </sharedItems>
    </cacheField>
    <cacheField name="Component_Name" numFmtId="0">
      <sharedItems/>
    </cacheField>
    <cacheField name="Vendor_Name" numFmtId="0">
      <sharedItems count="20">
        <s v="Sharma Steels"/>
        <s v="Turbotech Solutions"/>
        <s v="Velocity Components"/>
        <s v="Phoenix Welding"/>
        <s v="Apex Fasteners"/>
        <s v="Maa Engineering Works"/>
        <s v="Vindhya Engineering"/>
        <s v="Narmada Hydraulics"/>
        <s v="Mahakal Traders"/>
        <s v="Local Vendor"/>
        <s v="Mp Bearings"/>
        <s v="Rathore Motors"/>
        <s v="Sai Traders"/>
        <s v="Gm Engineering"/>
        <s v="Deepak Hardware"/>
        <s v="Colour Valley"/>
        <s v="Rajput Fabrication"/>
        <s v="Indore Industrial Supply"/>
        <s v="Precision Tools"/>
        <s v="Steelpoint Industries"/>
      </sharedItems>
    </cacheField>
    <cacheField name="Date" numFmtId="14">
      <sharedItems containsSemiMixedTypes="0" containsNonDate="0" containsDate="1" containsString="0" minDate="2024-06-01T00:00:00" maxDate="2025-03-29T00:00:00"/>
    </cacheField>
    <cacheField name="Quantity" numFmtId="0">
      <sharedItems containsSemiMixedTypes="0" containsString="0" containsNumber="1" containsInteger="1" minValue="1" maxValue="20"/>
    </cacheField>
    <cacheField name="Unit Cost" numFmtId="164">
      <sharedItems containsSemiMixedTypes="0" containsString="0" containsNumber="1" containsInteger="1" minValue="120" maxValue="4500"/>
    </cacheField>
    <cacheField name="Total_Amount" numFmtId="164">
      <sharedItems containsSemiMixedTypes="0" containsString="0" containsNumber="1" containsInteger="1" minValue="120" maxValue="88860"/>
    </cacheField>
    <cacheField name="Payment_Status" numFmtId="0">
      <sharedItems count="3">
        <s v="Partial"/>
        <s v="Paid"/>
        <s v="Pending"/>
      </sharedItems>
    </cacheField>
    <cacheField name="Expense_Category" numFmtId="0">
      <sharedItems count="7">
        <s v="Transportation"/>
        <s v="Consumables"/>
        <s v="Hardware"/>
        <s v="Raw Material"/>
        <s v="Manufacturing"/>
        <s v="Maintenance"/>
        <s v="Safety"/>
      </sharedItems>
    </cacheField>
    <cacheField name="Priority" numFmtId="0">
      <sharedItems count="3">
        <s v="Medium"/>
        <s v="Low"/>
        <s v="High"/>
      </sharedItems>
    </cacheField>
    <cacheField name="Delay_Days" numFmtId="0">
      <sharedItems containsSemiMixedTypes="0" containsString="0" containsNumber="1" containsInteger="1" minValue="0" maxValue="10"/>
    </cacheField>
    <cacheField name="City" numFmtId="0">
      <sharedItems count="5">
        <s v="Pithampur"/>
        <s v="Bhopal"/>
        <s v="Dewas"/>
        <s v="Ujjain"/>
        <s v="Indore"/>
      </sharedItems>
    </cacheField>
    <cacheField name="Month" numFmtId="0">
      <sharedItems/>
    </cacheField>
    <cacheField name="Year" numFmtId="0">
      <sharedItems count="2">
        <s v="2025"/>
        <s v="2024"/>
      </sharedItems>
    </cacheField>
  </cacheFields>
  <extLst>
    <ext xmlns:x14="http://schemas.microsoft.com/office/spreadsheetml/2009/9/main" uri="{725AE2AE-9491-48be-B2B4-4EB974FC3084}">
      <x14:pivotCacheDefinition pivotCacheId="4808567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0">
  <r>
    <s v="DE1001"/>
    <x v="0"/>
    <s v="Master Cylinder"/>
    <x v="0"/>
    <d v="2025-03-28T00:00:00"/>
    <n v="18"/>
    <n v="3553"/>
    <n v="63954"/>
    <x v="0"/>
    <x v="0"/>
    <x v="0"/>
    <n v="5"/>
    <x v="0"/>
    <s v="Mar"/>
    <x v="0"/>
  </r>
  <r>
    <s v="DE1002"/>
    <x v="0"/>
    <s v="Brake Fluid"/>
    <x v="1"/>
    <d v="2025-03-22T00:00:00"/>
    <n v="20"/>
    <n v="1249"/>
    <n v="24980"/>
    <x v="1"/>
    <x v="0"/>
    <x v="1"/>
    <n v="5"/>
    <x v="1"/>
    <s v="Mar"/>
    <x v="0"/>
  </r>
  <r>
    <s v="DE1003"/>
    <x v="0"/>
    <s v="Master Cylinder"/>
    <x v="0"/>
    <d v="2025-03-20T00:00:00"/>
    <n v="15"/>
    <n v="1593"/>
    <n v="23895"/>
    <x v="0"/>
    <x v="1"/>
    <x v="2"/>
    <n v="7"/>
    <x v="2"/>
    <s v="Mar"/>
    <x v="0"/>
  </r>
  <r>
    <s v="DE1004"/>
    <x v="0"/>
    <s v="Brake Pad"/>
    <x v="2"/>
    <d v="2025-03-15T00:00:00"/>
    <n v="7"/>
    <n v="3265"/>
    <n v="22855"/>
    <x v="2"/>
    <x v="2"/>
    <x v="1"/>
    <n v="2"/>
    <x v="3"/>
    <s v="Mar"/>
    <x v="0"/>
  </r>
  <r>
    <s v="DE1005"/>
    <x v="0"/>
    <s v="Master Cylinder"/>
    <x v="3"/>
    <d v="2025-03-13T00:00:00"/>
    <n v="13"/>
    <n v="1337"/>
    <n v="17381"/>
    <x v="1"/>
    <x v="3"/>
    <x v="2"/>
    <n v="5"/>
    <x v="3"/>
    <s v="Mar"/>
    <x v="0"/>
  </r>
  <r>
    <s v="DE1006"/>
    <x v="0"/>
    <s v="Brake Pad"/>
    <x v="4"/>
    <d v="2025-03-13T00:00:00"/>
    <n v="8"/>
    <n v="2405"/>
    <n v="19240"/>
    <x v="2"/>
    <x v="4"/>
    <x v="1"/>
    <n v="0"/>
    <x v="0"/>
    <s v="Mar"/>
    <x v="0"/>
  </r>
  <r>
    <s v="DE1007"/>
    <x v="0"/>
    <s v="Brake Pad"/>
    <x v="5"/>
    <d v="2025-03-12T00:00:00"/>
    <n v="4"/>
    <n v="2988"/>
    <n v="11952"/>
    <x v="2"/>
    <x v="3"/>
    <x v="2"/>
    <n v="10"/>
    <x v="1"/>
    <s v="Mar"/>
    <x v="0"/>
  </r>
  <r>
    <s v="DE1008"/>
    <x v="0"/>
    <s v="Master Cylinder"/>
    <x v="5"/>
    <d v="2025-03-02T00:00:00"/>
    <n v="14"/>
    <n v="1109"/>
    <n v="15526"/>
    <x v="1"/>
    <x v="5"/>
    <x v="0"/>
    <n v="2"/>
    <x v="4"/>
    <s v="Mar"/>
    <x v="0"/>
  </r>
  <r>
    <s v="DE1009"/>
    <x v="0"/>
    <s v="Master Cylinder"/>
    <x v="6"/>
    <d v="2025-02-26T00:00:00"/>
    <n v="19"/>
    <n v="901"/>
    <n v="17119"/>
    <x v="1"/>
    <x v="4"/>
    <x v="1"/>
    <n v="2"/>
    <x v="4"/>
    <s v="Feb"/>
    <x v="0"/>
  </r>
  <r>
    <s v="DE1010"/>
    <x v="0"/>
    <s v="Brake Pad"/>
    <x v="0"/>
    <d v="2025-02-24T00:00:00"/>
    <n v="4"/>
    <n v="909"/>
    <n v="3636"/>
    <x v="1"/>
    <x v="4"/>
    <x v="1"/>
    <n v="0"/>
    <x v="0"/>
    <s v="Feb"/>
    <x v="0"/>
  </r>
  <r>
    <s v="DE1011"/>
    <x v="0"/>
    <s v="Caliper"/>
    <x v="0"/>
    <d v="2025-02-21T00:00:00"/>
    <n v="2"/>
    <n v="1137"/>
    <n v="2274"/>
    <x v="1"/>
    <x v="6"/>
    <x v="0"/>
    <n v="7"/>
    <x v="0"/>
    <s v="Feb"/>
    <x v="0"/>
  </r>
  <r>
    <s v="DE1012"/>
    <x v="0"/>
    <s v="Brake Fluid"/>
    <x v="5"/>
    <d v="2025-02-21T00:00:00"/>
    <n v="2"/>
    <n v="1656"/>
    <n v="3312"/>
    <x v="2"/>
    <x v="1"/>
    <x v="0"/>
    <n v="10"/>
    <x v="2"/>
    <s v="Feb"/>
    <x v="0"/>
  </r>
  <r>
    <s v="DE1013"/>
    <x v="0"/>
    <s v="Master Cylinder"/>
    <x v="7"/>
    <d v="2025-02-16T00:00:00"/>
    <n v="8"/>
    <n v="1253"/>
    <n v="10024"/>
    <x v="1"/>
    <x v="3"/>
    <x v="2"/>
    <n v="7"/>
    <x v="3"/>
    <s v="Feb"/>
    <x v="0"/>
  </r>
  <r>
    <s v="DE1014"/>
    <x v="0"/>
    <s v="Caliper"/>
    <x v="8"/>
    <d v="2025-02-11T00:00:00"/>
    <n v="12"/>
    <n v="574"/>
    <n v="6888"/>
    <x v="2"/>
    <x v="4"/>
    <x v="0"/>
    <n v="10"/>
    <x v="1"/>
    <s v="Feb"/>
    <x v="0"/>
  </r>
  <r>
    <s v="DE1015"/>
    <x v="0"/>
    <s v="Master Cylinder"/>
    <x v="4"/>
    <d v="2025-02-10T00:00:00"/>
    <n v="1"/>
    <n v="521"/>
    <n v="521"/>
    <x v="1"/>
    <x v="5"/>
    <x v="0"/>
    <n v="0"/>
    <x v="1"/>
    <s v="Feb"/>
    <x v="0"/>
  </r>
  <r>
    <s v="DE1016"/>
    <x v="0"/>
    <s v="Brake Pad"/>
    <x v="9"/>
    <d v="2025-02-09T00:00:00"/>
    <n v="14"/>
    <n v="1855"/>
    <n v="25970"/>
    <x v="2"/>
    <x v="6"/>
    <x v="1"/>
    <n v="5"/>
    <x v="1"/>
    <s v="Feb"/>
    <x v="0"/>
  </r>
  <r>
    <s v="DE1017"/>
    <x v="0"/>
    <s v="Caliper"/>
    <x v="1"/>
    <d v="2025-02-09T00:00:00"/>
    <n v="7"/>
    <n v="3265"/>
    <n v="22855"/>
    <x v="1"/>
    <x v="4"/>
    <x v="1"/>
    <n v="0"/>
    <x v="3"/>
    <s v="Feb"/>
    <x v="0"/>
  </r>
  <r>
    <s v="DE1018"/>
    <x v="0"/>
    <s v="Brake Pad"/>
    <x v="10"/>
    <d v="2025-02-09T00:00:00"/>
    <n v="2"/>
    <n v="3372"/>
    <n v="6744"/>
    <x v="2"/>
    <x v="2"/>
    <x v="2"/>
    <n v="0"/>
    <x v="0"/>
    <s v="Feb"/>
    <x v="0"/>
  </r>
  <r>
    <s v="DE1019"/>
    <x v="0"/>
    <s v="Brake Pad"/>
    <x v="11"/>
    <d v="2025-02-07T00:00:00"/>
    <n v="20"/>
    <n v="2459"/>
    <n v="49180"/>
    <x v="1"/>
    <x v="3"/>
    <x v="0"/>
    <n v="0"/>
    <x v="4"/>
    <s v="Feb"/>
    <x v="0"/>
  </r>
  <r>
    <s v="DE1020"/>
    <x v="0"/>
    <s v="Master Cylinder"/>
    <x v="7"/>
    <d v="2025-02-01T00:00:00"/>
    <n v="4"/>
    <n v="4064"/>
    <n v="16256"/>
    <x v="0"/>
    <x v="4"/>
    <x v="1"/>
    <n v="10"/>
    <x v="4"/>
    <s v="Feb"/>
    <x v="0"/>
  </r>
  <r>
    <s v="DE1021"/>
    <x v="0"/>
    <s v="Master Cylinder"/>
    <x v="12"/>
    <d v="2025-01-30T00:00:00"/>
    <n v="3"/>
    <n v="1582"/>
    <n v="4746"/>
    <x v="1"/>
    <x v="6"/>
    <x v="0"/>
    <n v="0"/>
    <x v="3"/>
    <s v="Jan"/>
    <x v="0"/>
  </r>
  <r>
    <s v="DE1022"/>
    <x v="0"/>
    <s v="Brake Fluid"/>
    <x v="10"/>
    <d v="2025-01-29T00:00:00"/>
    <n v="7"/>
    <n v="4307"/>
    <n v="30149"/>
    <x v="1"/>
    <x v="2"/>
    <x v="1"/>
    <n v="7"/>
    <x v="4"/>
    <s v="Jan"/>
    <x v="0"/>
  </r>
  <r>
    <s v="DE1023"/>
    <x v="0"/>
    <s v="Brake Disc"/>
    <x v="3"/>
    <d v="2025-01-28T00:00:00"/>
    <n v="3"/>
    <n v="1310"/>
    <n v="3930"/>
    <x v="1"/>
    <x v="0"/>
    <x v="0"/>
    <n v="0"/>
    <x v="4"/>
    <s v="Jan"/>
    <x v="0"/>
  </r>
  <r>
    <s v="DE1024"/>
    <x v="0"/>
    <s v="Master Cylinder"/>
    <x v="13"/>
    <d v="2025-01-28T00:00:00"/>
    <n v="4"/>
    <n v="2035"/>
    <n v="8140"/>
    <x v="0"/>
    <x v="1"/>
    <x v="1"/>
    <n v="0"/>
    <x v="3"/>
    <s v="Jan"/>
    <x v="0"/>
  </r>
  <r>
    <s v="DE1025"/>
    <x v="0"/>
    <s v="Master Cylinder"/>
    <x v="14"/>
    <d v="2025-01-26T00:00:00"/>
    <n v="11"/>
    <n v="1063"/>
    <n v="11693"/>
    <x v="1"/>
    <x v="4"/>
    <x v="1"/>
    <n v="7"/>
    <x v="1"/>
    <s v="Jan"/>
    <x v="0"/>
  </r>
  <r>
    <s v="DE1026"/>
    <x v="0"/>
    <s v="Brake Disc"/>
    <x v="14"/>
    <d v="2025-01-22T00:00:00"/>
    <n v="14"/>
    <n v="273"/>
    <n v="3822"/>
    <x v="2"/>
    <x v="5"/>
    <x v="0"/>
    <n v="5"/>
    <x v="3"/>
    <s v="Jan"/>
    <x v="0"/>
  </r>
  <r>
    <s v="DE1027"/>
    <x v="0"/>
    <s v="Brake Disc"/>
    <x v="8"/>
    <d v="2025-01-22T00:00:00"/>
    <n v="12"/>
    <n v="3446"/>
    <n v="41352"/>
    <x v="0"/>
    <x v="4"/>
    <x v="0"/>
    <n v="7"/>
    <x v="4"/>
    <s v="Jan"/>
    <x v="0"/>
  </r>
  <r>
    <s v="DE1028"/>
    <x v="0"/>
    <s v="Master Cylinder"/>
    <x v="14"/>
    <d v="2025-01-19T00:00:00"/>
    <n v="7"/>
    <n v="1120"/>
    <n v="7840"/>
    <x v="1"/>
    <x v="2"/>
    <x v="1"/>
    <n v="5"/>
    <x v="4"/>
    <s v="Jan"/>
    <x v="0"/>
  </r>
  <r>
    <s v="DE1029"/>
    <x v="0"/>
    <s v="Brake Pad"/>
    <x v="14"/>
    <d v="2025-01-19T00:00:00"/>
    <n v="13"/>
    <n v="2556"/>
    <n v="33228"/>
    <x v="1"/>
    <x v="2"/>
    <x v="0"/>
    <n v="2"/>
    <x v="3"/>
    <s v="Jan"/>
    <x v="0"/>
  </r>
  <r>
    <s v="DE1030"/>
    <x v="0"/>
    <s v="Master Cylinder"/>
    <x v="13"/>
    <d v="2025-01-18T00:00:00"/>
    <n v="15"/>
    <n v="4359"/>
    <n v="65385"/>
    <x v="1"/>
    <x v="4"/>
    <x v="0"/>
    <n v="0"/>
    <x v="1"/>
    <s v="Jan"/>
    <x v="0"/>
  </r>
  <r>
    <s v="DE1031"/>
    <x v="0"/>
    <s v="Brake Fluid"/>
    <x v="8"/>
    <d v="2025-01-17T00:00:00"/>
    <n v="1"/>
    <n v="1736"/>
    <n v="1736"/>
    <x v="2"/>
    <x v="0"/>
    <x v="1"/>
    <n v="0"/>
    <x v="0"/>
    <s v="Jan"/>
    <x v="0"/>
  </r>
  <r>
    <s v="DE1032"/>
    <x v="0"/>
    <s v="Brake Fluid"/>
    <x v="4"/>
    <d v="2025-01-06T00:00:00"/>
    <n v="15"/>
    <n v="2555"/>
    <n v="38325"/>
    <x v="0"/>
    <x v="1"/>
    <x v="1"/>
    <n v="7"/>
    <x v="2"/>
    <s v="Jan"/>
    <x v="0"/>
  </r>
  <r>
    <s v="DE1033"/>
    <x v="0"/>
    <s v="Master Cylinder"/>
    <x v="0"/>
    <d v="2025-01-04T00:00:00"/>
    <n v="19"/>
    <n v="920"/>
    <n v="17480"/>
    <x v="2"/>
    <x v="6"/>
    <x v="2"/>
    <n v="0"/>
    <x v="0"/>
    <s v="Jan"/>
    <x v="0"/>
  </r>
  <r>
    <s v="DE1034"/>
    <x v="0"/>
    <s v="Brake Disc"/>
    <x v="15"/>
    <d v="2025-01-01T00:00:00"/>
    <n v="20"/>
    <n v="4400"/>
    <n v="88000"/>
    <x v="1"/>
    <x v="0"/>
    <x v="1"/>
    <n v="5"/>
    <x v="4"/>
    <s v="Jan"/>
    <x v="0"/>
  </r>
  <r>
    <s v="DE1035"/>
    <x v="0"/>
    <s v="Brake Pad"/>
    <x v="6"/>
    <d v="2024-12-30T00:00:00"/>
    <n v="11"/>
    <n v="1002"/>
    <n v="11022"/>
    <x v="0"/>
    <x v="2"/>
    <x v="2"/>
    <n v="10"/>
    <x v="3"/>
    <s v="Dec"/>
    <x v="1"/>
  </r>
  <r>
    <s v="DE1036"/>
    <x v="0"/>
    <s v="Brake Fluid"/>
    <x v="6"/>
    <d v="2024-12-30T00:00:00"/>
    <n v="11"/>
    <n v="3936"/>
    <n v="43296"/>
    <x v="2"/>
    <x v="4"/>
    <x v="1"/>
    <n v="7"/>
    <x v="1"/>
    <s v="Dec"/>
    <x v="1"/>
  </r>
  <r>
    <s v="DE1037"/>
    <x v="0"/>
    <s v="Caliper"/>
    <x v="15"/>
    <d v="2024-12-26T00:00:00"/>
    <n v="18"/>
    <n v="4317"/>
    <n v="77706"/>
    <x v="1"/>
    <x v="3"/>
    <x v="1"/>
    <n v="0"/>
    <x v="3"/>
    <s v="Dec"/>
    <x v="1"/>
  </r>
  <r>
    <s v="DE1038"/>
    <x v="0"/>
    <s v="Brake Pad"/>
    <x v="5"/>
    <d v="2024-12-24T00:00:00"/>
    <n v="9"/>
    <n v="3116"/>
    <n v="28044"/>
    <x v="2"/>
    <x v="3"/>
    <x v="1"/>
    <n v="5"/>
    <x v="0"/>
    <s v="Dec"/>
    <x v="1"/>
  </r>
  <r>
    <s v="DE1039"/>
    <x v="0"/>
    <s v="Brake Pad"/>
    <x v="16"/>
    <d v="2024-12-21T00:00:00"/>
    <n v="20"/>
    <n v="1795"/>
    <n v="35900"/>
    <x v="2"/>
    <x v="1"/>
    <x v="0"/>
    <n v="2"/>
    <x v="0"/>
    <s v="Dec"/>
    <x v="1"/>
  </r>
  <r>
    <s v="DE1040"/>
    <x v="0"/>
    <s v="Caliper"/>
    <x v="8"/>
    <d v="2024-12-15T00:00:00"/>
    <n v="17"/>
    <n v="1067"/>
    <n v="18139"/>
    <x v="2"/>
    <x v="4"/>
    <x v="1"/>
    <n v="2"/>
    <x v="1"/>
    <s v="Dec"/>
    <x v="1"/>
  </r>
  <r>
    <s v="DE1041"/>
    <x v="0"/>
    <s v="Brake Pad"/>
    <x v="12"/>
    <d v="2024-12-12T00:00:00"/>
    <n v="2"/>
    <n v="2251"/>
    <n v="4502"/>
    <x v="2"/>
    <x v="4"/>
    <x v="0"/>
    <n v="10"/>
    <x v="0"/>
    <s v="Dec"/>
    <x v="1"/>
  </r>
  <r>
    <s v="DE1042"/>
    <x v="0"/>
    <s v="Brake Pad"/>
    <x v="5"/>
    <d v="2024-12-11T00:00:00"/>
    <n v="14"/>
    <n v="4159"/>
    <n v="58226"/>
    <x v="2"/>
    <x v="1"/>
    <x v="0"/>
    <n v="10"/>
    <x v="2"/>
    <s v="Dec"/>
    <x v="1"/>
  </r>
  <r>
    <s v="DE1043"/>
    <x v="0"/>
    <s v="Brake Fluid"/>
    <x v="4"/>
    <d v="2024-12-07T00:00:00"/>
    <n v="11"/>
    <n v="1409"/>
    <n v="15499"/>
    <x v="2"/>
    <x v="2"/>
    <x v="1"/>
    <n v="0"/>
    <x v="2"/>
    <s v="Dec"/>
    <x v="1"/>
  </r>
  <r>
    <s v="DE1044"/>
    <x v="0"/>
    <s v="Master Cylinder"/>
    <x v="3"/>
    <d v="2024-11-28T00:00:00"/>
    <n v="15"/>
    <n v="466"/>
    <n v="6990"/>
    <x v="2"/>
    <x v="0"/>
    <x v="2"/>
    <n v="0"/>
    <x v="0"/>
    <s v="Nov"/>
    <x v="1"/>
  </r>
  <r>
    <s v="DE1045"/>
    <x v="0"/>
    <s v="Brake Fluid"/>
    <x v="10"/>
    <d v="2024-11-28T00:00:00"/>
    <n v="15"/>
    <n v="1498"/>
    <n v="22470"/>
    <x v="0"/>
    <x v="4"/>
    <x v="0"/>
    <n v="0"/>
    <x v="1"/>
    <s v="Nov"/>
    <x v="1"/>
  </r>
  <r>
    <s v="DE1046"/>
    <x v="0"/>
    <s v="Brake Pad"/>
    <x v="0"/>
    <d v="2024-11-25T00:00:00"/>
    <n v="8"/>
    <n v="3893"/>
    <n v="31144"/>
    <x v="1"/>
    <x v="6"/>
    <x v="2"/>
    <n v="0"/>
    <x v="1"/>
    <s v="Nov"/>
    <x v="1"/>
  </r>
  <r>
    <s v="DE1047"/>
    <x v="0"/>
    <s v="Master Cylinder"/>
    <x v="17"/>
    <d v="2024-11-16T00:00:00"/>
    <n v="20"/>
    <n v="3232"/>
    <n v="64640"/>
    <x v="2"/>
    <x v="6"/>
    <x v="1"/>
    <n v="0"/>
    <x v="0"/>
    <s v="Nov"/>
    <x v="1"/>
  </r>
  <r>
    <s v="DE1048"/>
    <x v="0"/>
    <s v="Master Cylinder"/>
    <x v="15"/>
    <d v="2024-11-12T00:00:00"/>
    <n v="14"/>
    <n v="2850"/>
    <n v="39900"/>
    <x v="1"/>
    <x v="5"/>
    <x v="0"/>
    <n v="7"/>
    <x v="0"/>
    <s v="Nov"/>
    <x v="1"/>
  </r>
  <r>
    <s v="DE1049"/>
    <x v="0"/>
    <s v="Brake Fluid"/>
    <x v="18"/>
    <d v="2024-11-08T00:00:00"/>
    <n v="14"/>
    <n v="898"/>
    <n v="12572"/>
    <x v="0"/>
    <x v="6"/>
    <x v="0"/>
    <n v="0"/>
    <x v="4"/>
    <s v="Nov"/>
    <x v="1"/>
  </r>
  <r>
    <s v="DE1050"/>
    <x v="0"/>
    <s v="Caliper"/>
    <x v="5"/>
    <d v="2024-10-31T00:00:00"/>
    <n v="10"/>
    <n v="1300"/>
    <n v="13000"/>
    <x v="0"/>
    <x v="3"/>
    <x v="2"/>
    <n v="0"/>
    <x v="4"/>
    <s v="Oct"/>
    <x v="1"/>
  </r>
  <r>
    <s v="DE1051"/>
    <x v="0"/>
    <s v="Brake Fluid"/>
    <x v="1"/>
    <d v="2024-10-31T00:00:00"/>
    <n v="1"/>
    <n v="3001"/>
    <n v="3001"/>
    <x v="2"/>
    <x v="5"/>
    <x v="1"/>
    <n v="7"/>
    <x v="3"/>
    <s v="Oct"/>
    <x v="1"/>
  </r>
  <r>
    <s v="DE1052"/>
    <x v="0"/>
    <s v="Master Cylinder"/>
    <x v="3"/>
    <d v="2024-10-26T00:00:00"/>
    <n v="14"/>
    <n v="541"/>
    <n v="7574"/>
    <x v="2"/>
    <x v="6"/>
    <x v="1"/>
    <n v="5"/>
    <x v="2"/>
    <s v="Oct"/>
    <x v="1"/>
  </r>
  <r>
    <s v="DE1053"/>
    <x v="0"/>
    <s v="Master Cylinder"/>
    <x v="4"/>
    <d v="2024-10-26T00:00:00"/>
    <n v="2"/>
    <n v="2016"/>
    <n v="4032"/>
    <x v="2"/>
    <x v="2"/>
    <x v="1"/>
    <n v="0"/>
    <x v="1"/>
    <s v="Oct"/>
    <x v="1"/>
  </r>
  <r>
    <s v="DE1054"/>
    <x v="0"/>
    <s v="Master Cylinder"/>
    <x v="15"/>
    <d v="2024-10-26T00:00:00"/>
    <n v="18"/>
    <n v="2360"/>
    <n v="42480"/>
    <x v="0"/>
    <x v="1"/>
    <x v="0"/>
    <n v="2"/>
    <x v="2"/>
    <s v="Oct"/>
    <x v="1"/>
  </r>
  <r>
    <s v="DE1055"/>
    <x v="0"/>
    <s v="Brake Pad"/>
    <x v="6"/>
    <d v="2024-10-25T00:00:00"/>
    <n v="10"/>
    <n v="2751"/>
    <n v="27510"/>
    <x v="1"/>
    <x v="5"/>
    <x v="1"/>
    <n v="0"/>
    <x v="2"/>
    <s v="Oct"/>
    <x v="1"/>
  </r>
  <r>
    <s v="DE1056"/>
    <x v="0"/>
    <s v="Master Cylinder"/>
    <x v="17"/>
    <d v="2024-10-24T00:00:00"/>
    <n v="8"/>
    <n v="3758"/>
    <n v="30064"/>
    <x v="0"/>
    <x v="4"/>
    <x v="0"/>
    <n v="10"/>
    <x v="2"/>
    <s v="Oct"/>
    <x v="1"/>
  </r>
  <r>
    <s v="DE1057"/>
    <x v="0"/>
    <s v="Caliper"/>
    <x v="9"/>
    <d v="2024-10-13T00:00:00"/>
    <n v="3"/>
    <n v="971"/>
    <n v="2913"/>
    <x v="1"/>
    <x v="4"/>
    <x v="0"/>
    <n v="0"/>
    <x v="2"/>
    <s v="Oct"/>
    <x v="1"/>
  </r>
  <r>
    <s v="DE1058"/>
    <x v="0"/>
    <s v="Master Cylinder"/>
    <x v="8"/>
    <d v="2024-09-23T00:00:00"/>
    <n v="6"/>
    <n v="3043"/>
    <n v="18258"/>
    <x v="1"/>
    <x v="5"/>
    <x v="0"/>
    <n v="7"/>
    <x v="2"/>
    <s v="Sep"/>
    <x v="1"/>
  </r>
  <r>
    <s v="DE1059"/>
    <x v="0"/>
    <s v="Brake Pad"/>
    <x v="4"/>
    <d v="2024-09-21T00:00:00"/>
    <n v="3"/>
    <n v="372"/>
    <n v="1116"/>
    <x v="2"/>
    <x v="3"/>
    <x v="1"/>
    <n v="0"/>
    <x v="3"/>
    <s v="Sep"/>
    <x v="1"/>
  </r>
  <r>
    <s v="DE1060"/>
    <x v="0"/>
    <s v="Brake Disc"/>
    <x v="16"/>
    <d v="2024-09-20T00:00:00"/>
    <n v="1"/>
    <n v="887"/>
    <n v="887"/>
    <x v="0"/>
    <x v="1"/>
    <x v="1"/>
    <n v="0"/>
    <x v="2"/>
    <s v="Sep"/>
    <x v="1"/>
  </r>
  <r>
    <s v="DE1061"/>
    <x v="0"/>
    <s v="Brake Pad"/>
    <x v="0"/>
    <d v="2024-09-07T00:00:00"/>
    <n v="6"/>
    <n v="1855"/>
    <n v="11130"/>
    <x v="2"/>
    <x v="3"/>
    <x v="1"/>
    <n v="2"/>
    <x v="2"/>
    <s v="Sep"/>
    <x v="1"/>
  </r>
  <r>
    <s v="DE1062"/>
    <x v="0"/>
    <s v="Brake Pad"/>
    <x v="9"/>
    <d v="2024-09-04T00:00:00"/>
    <n v="12"/>
    <n v="1878"/>
    <n v="22536"/>
    <x v="2"/>
    <x v="6"/>
    <x v="2"/>
    <n v="5"/>
    <x v="0"/>
    <s v="Sep"/>
    <x v="1"/>
  </r>
  <r>
    <s v="DE1063"/>
    <x v="0"/>
    <s v="Master Cylinder"/>
    <x v="19"/>
    <d v="2024-08-27T00:00:00"/>
    <n v="17"/>
    <n v="2579"/>
    <n v="43843"/>
    <x v="2"/>
    <x v="4"/>
    <x v="0"/>
    <n v="0"/>
    <x v="1"/>
    <s v="Aug"/>
    <x v="1"/>
  </r>
  <r>
    <s v="DE1064"/>
    <x v="0"/>
    <s v="Caliper"/>
    <x v="18"/>
    <d v="2024-08-21T00:00:00"/>
    <n v="9"/>
    <n v="173"/>
    <n v="1557"/>
    <x v="2"/>
    <x v="6"/>
    <x v="2"/>
    <n v="10"/>
    <x v="4"/>
    <s v="Aug"/>
    <x v="1"/>
  </r>
  <r>
    <s v="DE1065"/>
    <x v="0"/>
    <s v="Caliper"/>
    <x v="12"/>
    <d v="2024-08-21T00:00:00"/>
    <n v="14"/>
    <n v="2153"/>
    <n v="30142"/>
    <x v="0"/>
    <x v="1"/>
    <x v="2"/>
    <n v="10"/>
    <x v="3"/>
    <s v="Aug"/>
    <x v="1"/>
  </r>
  <r>
    <s v="DE1066"/>
    <x v="0"/>
    <s v="Brake Disc"/>
    <x v="13"/>
    <d v="2024-08-14T00:00:00"/>
    <n v="19"/>
    <n v="1932"/>
    <n v="36708"/>
    <x v="0"/>
    <x v="6"/>
    <x v="1"/>
    <n v="7"/>
    <x v="0"/>
    <s v="Aug"/>
    <x v="1"/>
  </r>
  <r>
    <s v="DE1067"/>
    <x v="0"/>
    <s v="Brake Pad"/>
    <x v="15"/>
    <d v="2024-08-11T00:00:00"/>
    <n v="3"/>
    <n v="943"/>
    <n v="2829"/>
    <x v="0"/>
    <x v="1"/>
    <x v="0"/>
    <n v="2"/>
    <x v="2"/>
    <s v="Aug"/>
    <x v="1"/>
  </r>
  <r>
    <s v="DE1068"/>
    <x v="0"/>
    <s v="Brake Fluid"/>
    <x v="16"/>
    <d v="2024-08-11T00:00:00"/>
    <n v="5"/>
    <n v="2289"/>
    <n v="11445"/>
    <x v="0"/>
    <x v="2"/>
    <x v="0"/>
    <n v="7"/>
    <x v="1"/>
    <s v="Aug"/>
    <x v="1"/>
  </r>
  <r>
    <s v="DE1069"/>
    <x v="0"/>
    <s v="Brake Disc"/>
    <x v="18"/>
    <d v="2024-08-10T00:00:00"/>
    <n v="17"/>
    <n v="2331"/>
    <n v="39627"/>
    <x v="1"/>
    <x v="5"/>
    <x v="1"/>
    <n v="5"/>
    <x v="0"/>
    <s v="Aug"/>
    <x v="1"/>
  </r>
  <r>
    <s v="DE1070"/>
    <x v="0"/>
    <s v="Caliper"/>
    <x v="7"/>
    <d v="2024-08-09T00:00:00"/>
    <n v="9"/>
    <n v="3764"/>
    <n v="33876"/>
    <x v="0"/>
    <x v="4"/>
    <x v="0"/>
    <n v="7"/>
    <x v="1"/>
    <s v="Aug"/>
    <x v="1"/>
  </r>
  <r>
    <s v="DE1071"/>
    <x v="0"/>
    <s v="Brake Pad"/>
    <x v="17"/>
    <d v="2024-08-08T00:00:00"/>
    <n v="19"/>
    <n v="2503"/>
    <n v="47557"/>
    <x v="0"/>
    <x v="1"/>
    <x v="0"/>
    <n v="0"/>
    <x v="2"/>
    <s v="Aug"/>
    <x v="1"/>
  </r>
  <r>
    <s v="DE1072"/>
    <x v="0"/>
    <s v="Brake Disc"/>
    <x v="16"/>
    <d v="2024-08-07T00:00:00"/>
    <n v="9"/>
    <n v="1159"/>
    <n v="10431"/>
    <x v="0"/>
    <x v="4"/>
    <x v="2"/>
    <n v="10"/>
    <x v="3"/>
    <s v="Aug"/>
    <x v="1"/>
  </r>
  <r>
    <s v="DE1073"/>
    <x v="0"/>
    <s v="Brake Disc"/>
    <x v="11"/>
    <d v="2024-08-07T00:00:00"/>
    <n v="8"/>
    <n v="1957"/>
    <n v="15656"/>
    <x v="1"/>
    <x v="2"/>
    <x v="1"/>
    <n v="0"/>
    <x v="0"/>
    <s v="Aug"/>
    <x v="1"/>
  </r>
  <r>
    <s v="DE1074"/>
    <x v="0"/>
    <s v="Master Cylinder"/>
    <x v="7"/>
    <d v="2024-08-06T00:00:00"/>
    <n v="20"/>
    <n v="356"/>
    <n v="7120"/>
    <x v="1"/>
    <x v="0"/>
    <x v="0"/>
    <n v="0"/>
    <x v="0"/>
    <s v="Aug"/>
    <x v="1"/>
  </r>
  <r>
    <s v="DE1075"/>
    <x v="0"/>
    <s v="Brake Disc"/>
    <x v="18"/>
    <d v="2024-08-01T00:00:00"/>
    <n v="1"/>
    <n v="2934"/>
    <n v="2934"/>
    <x v="1"/>
    <x v="2"/>
    <x v="2"/>
    <n v="0"/>
    <x v="4"/>
    <s v="Aug"/>
    <x v="1"/>
  </r>
  <r>
    <s v="DE1076"/>
    <x v="0"/>
    <s v="Caliper"/>
    <x v="7"/>
    <d v="2024-07-27T00:00:00"/>
    <n v="15"/>
    <n v="634"/>
    <n v="9510"/>
    <x v="0"/>
    <x v="1"/>
    <x v="1"/>
    <n v="5"/>
    <x v="2"/>
    <s v="Jul"/>
    <x v="1"/>
  </r>
  <r>
    <s v="DE1077"/>
    <x v="0"/>
    <s v="Brake Fluid"/>
    <x v="17"/>
    <d v="2024-07-26T00:00:00"/>
    <n v="12"/>
    <n v="4324"/>
    <n v="51888"/>
    <x v="1"/>
    <x v="1"/>
    <x v="2"/>
    <n v="7"/>
    <x v="3"/>
    <s v="Jul"/>
    <x v="1"/>
  </r>
  <r>
    <s v="DE1078"/>
    <x v="0"/>
    <s v="Master Cylinder"/>
    <x v="17"/>
    <d v="2024-07-21T00:00:00"/>
    <n v="2"/>
    <n v="496"/>
    <n v="992"/>
    <x v="1"/>
    <x v="3"/>
    <x v="0"/>
    <n v="2"/>
    <x v="3"/>
    <s v="Jul"/>
    <x v="1"/>
  </r>
  <r>
    <s v="DE1079"/>
    <x v="0"/>
    <s v="Brake Fluid"/>
    <x v="6"/>
    <d v="2024-07-21T00:00:00"/>
    <n v="15"/>
    <n v="563"/>
    <n v="8445"/>
    <x v="0"/>
    <x v="0"/>
    <x v="2"/>
    <n v="0"/>
    <x v="2"/>
    <s v="Jul"/>
    <x v="1"/>
  </r>
  <r>
    <s v="DE1080"/>
    <x v="0"/>
    <s v="Brake Fluid"/>
    <x v="17"/>
    <d v="2024-07-18T00:00:00"/>
    <n v="11"/>
    <n v="140"/>
    <n v="1540"/>
    <x v="0"/>
    <x v="2"/>
    <x v="0"/>
    <n v="10"/>
    <x v="1"/>
    <s v="Jul"/>
    <x v="1"/>
  </r>
  <r>
    <s v="DE1081"/>
    <x v="0"/>
    <s v="Master Cylinder"/>
    <x v="15"/>
    <d v="2024-07-17T00:00:00"/>
    <n v="8"/>
    <n v="3636"/>
    <n v="29088"/>
    <x v="1"/>
    <x v="3"/>
    <x v="2"/>
    <n v="0"/>
    <x v="1"/>
    <s v="Jul"/>
    <x v="1"/>
  </r>
  <r>
    <s v="DE1082"/>
    <x v="0"/>
    <s v="Caliper"/>
    <x v="12"/>
    <d v="2024-07-16T00:00:00"/>
    <n v="2"/>
    <n v="3845"/>
    <n v="7690"/>
    <x v="2"/>
    <x v="6"/>
    <x v="0"/>
    <n v="10"/>
    <x v="1"/>
    <s v="Jul"/>
    <x v="1"/>
  </r>
  <r>
    <s v="DE1083"/>
    <x v="0"/>
    <s v="Brake Pad"/>
    <x v="18"/>
    <d v="2024-07-15T00:00:00"/>
    <n v="2"/>
    <n v="2122"/>
    <n v="4244"/>
    <x v="2"/>
    <x v="3"/>
    <x v="1"/>
    <n v="0"/>
    <x v="2"/>
    <s v="Jul"/>
    <x v="1"/>
  </r>
  <r>
    <s v="DE1084"/>
    <x v="0"/>
    <s v="Caliper"/>
    <x v="0"/>
    <d v="2024-07-09T00:00:00"/>
    <n v="1"/>
    <n v="1036"/>
    <n v="1036"/>
    <x v="1"/>
    <x v="1"/>
    <x v="1"/>
    <n v="5"/>
    <x v="3"/>
    <s v="Jul"/>
    <x v="1"/>
  </r>
  <r>
    <s v="DE1085"/>
    <x v="0"/>
    <s v="Caliper"/>
    <x v="11"/>
    <d v="2024-07-07T00:00:00"/>
    <n v="19"/>
    <n v="3435"/>
    <n v="65265"/>
    <x v="2"/>
    <x v="4"/>
    <x v="0"/>
    <n v="0"/>
    <x v="0"/>
    <s v="Jul"/>
    <x v="1"/>
  </r>
  <r>
    <s v="DE1086"/>
    <x v="0"/>
    <s v="Master Cylinder"/>
    <x v="7"/>
    <d v="2024-07-06T00:00:00"/>
    <n v="3"/>
    <n v="613"/>
    <n v="1839"/>
    <x v="2"/>
    <x v="3"/>
    <x v="2"/>
    <n v="10"/>
    <x v="3"/>
    <s v="Jul"/>
    <x v="1"/>
  </r>
  <r>
    <s v="DE1087"/>
    <x v="0"/>
    <s v="Caliper"/>
    <x v="9"/>
    <d v="2024-07-05T00:00:00"/>
    <n v="3"/>
    <n v="2501"/>
    <n v="7503"/>
    <x v="1"/>
    <x v="3"/>
    <x v="1"/>
    <n v="2"/>
    <x v="0"/>
    <s v="Jul"/>
    <x v="1"/>
  </r>
  <r>
    <s v="DE1088"/>
    <x v="0"/>
    <s v="Brake Disc"/>
    <x v="8"/>
    <d v="2024-07-03T00:00:00"/>
    <n v="18"/>
    <n v="168"/>
    <n v="3024"/>
    <x v="0"/>
    <x v="3"/>
    <x v="0"/>
    <n v="5"/>
    <x v="0"/>
    <s v="Jul"/>
    <x v="1"/>
  </r>
  <r>
    <s v="DE1089"/>
    <x v="0"/>
    <s v="Brake Fluid"/>
    <x v="14"/>
    <d v="2024-07-02T00:00:00"/>
    <n v="18"/>
    <n v="4044"/>
    <n v="72792"/>
    <x v="2"/>
    <x v="6"/>
    <x v="0"/>
    <n v="0"/>
    <x v="1"/>
    <s v="Jul"/>
    <x v="1"/>
  </r>
  <r>
    <s v="DE1090"/>
    <x v="0"/>
    <s v="Master Cylinder"/>
    <x v="18"/>
    <d v="2024-06-27T00:00:00"/>
    <n v="7"/>
    <n v="3072"/>
    <n v="21504"/>
    <x v="1"/>
    <x v="3"/>
    <x v="0"/>
    <n v="0"/>
    <x v="2"/>
    <s v="Jun"/>
    <x v="1"/>
  </r>
  <r>
    <s v="DE1091"/>
    <x v="0"/>
    <s v="Brake Disc"/>
    <x v="12"/>
    <d v="2024-06-11T00:00:00"/>
    <n v="2"/>
    <n v="2535"/>
    <n v="5070"/>
    <x v="1"/>
    <x v="6"/>
    <x v="0"/>
    <n v="0"/>
    <x v="2"/>
    <s v="Jun"/>
    <x v="1"/>
  </r>
  <r>
    <s v="DE1092"/>
    <x v="0"/>
    <s v="Master Cylinder"/>
    <x v="19"/>
    <d v="2024-06-10T00:00:00"/>
    <n v="3"/>
    <n v="3972"/>
    <n v="11916"/>
    <x v="2"/>
    <x v="3"/>
    <x v="1"/>
    <n v="0"/>
    <x v="4"/>
    <s v="Jun"/>
    <x v="1"/>
  </r>
  <r>
    <s v="DE1093"/>
    <x v="0"/>
    <s v="Brake Fluid"/>
    <x v="9"/>
    <d v="2024-06-07T00:00:00"/>
    <n v="11"/>
    <n v="560"/>
    <n v="6160"/>
    <x v="0"/>
    <x v="4"/>
    <x v="2"/>
    <n v="7"/>
    <x v="1"/>
    <s v="Jun"/>
    <x v="1"/>
  </r>
  <r>
    <s v="DE1094"/>
    <x v="0"/>
    <s v="Brake Disc"/>
    <x v="6"/>
    <d v="2024-06-07T00:00:00"/>
    <n v="5"/>
    <n v="1114"/>
    <n v="5570"/>
    <x v="1"/>
    <x v="5"/>
    <x v="2"/>
    <n v="10"/>
    <x v="0"/>
    <s v="Jun"/>
    <x v="1"/>
  </r>
  <r>
    <s v="DE1095"/>
    <x v="0"/>
    <s v="Brake Disc"/>
    <x v="12"/>
    <d v="2024-06-02T00:00:00"/>
    <n v="4"/>
    <n v="1936"/>
    <n v="7744"/>
    <x v="0"/>
    <x v="6"/>
    <x v="1"/>
    <n v="5"/>
    <x v="4"/>
    <s v="Jun"/>
    <x v="1"/>
  </r>
  <r>
    <s v="DE1096"/>
    <x v="1"/>
    <s v="Caliper"/>
    <x v="10"/>
    <d v="2024-08-23T00:00:00"/>
    <n v="5"/>
    <n v="2059"/>
    <n v="10295"/>
    <x v="1"/>
    <x v="0"/>
    <x v="1"/>
    <n v="0"/>
    <x v="2"/>
    <s v="Aug"/>
    <x v="1"/>
  </r>
  <r>
    <s v="DE1097"/>
    <x v="1"/>
    <s v="Clutch Assembly"/>
    <x v="15"/>
    <d v="2025-03-25T00:00:00"/>
    <n v="7"/>
    <n v="3228"/>
    <n v="22596"/>
    <x v="2"/>
    <x v="6"/>
    <x v="0"/>
    <n v="0"/>
    <x v="2"/>
    <s v="Mar"/>
    <x v="0"/>
  </r>
  <r>
    <s v="DE1098"/>
    <x v="1"/>
    <s v="Fuel Pipe"/>
    <x v="11"/>
    <d v="2025-03-23T00:00:00"/>
    <n v="10"/>
    <n v="3082"/>
    <n v="30820"/>
    <x v="1"/>
    <x v="2"/>
    <x v="1"/>
    <n v="0"/>
    <x v="4"/>
    <s v="Mar"/>
    <x v="0"/>
  </r>
  <r>
    <s v="DE1099"/>
    <x v="1"/>
    <s v="Engine Mount"/>
    <x v="19"/>
    <d v="2025-03-13T00:00:00"/>
    <n v="14"/>
    <n v="413"/>
    <n v="5782"/>
    <x v="1"/>
    <x v="3"/>
    <x v="1"/>
    <n v="7"/>
    <x v="1"/>
    <s v="Mar"/>
    <x v="0"/>
  </r>
  <r>
    <s v="DE1100"/>
    <x v="1"/>
    <s v="Engine Mount"/>
    <x v="5"/>
    <d v="2025-03-13T00:00:00"/>
    <n v="12"/>
    <n v="2897"/>
    <n v="34764"/>
    <x v="1"/>
    <x v="5"/>
    <x v="1"/>
    <n v="5"/>
    <x v="1"/>
    <s v="Mar"/>
    <x v="0"/>
  </r>
  <r>
    <s v="DE1101"/>
    <x v="1"/>
    <s v="Engine Mount"/>
    <x v="7"/>
    <d v="2025-03-10T00:00:00"/>
    <n v="13"/>
    <n v="3209"/>
    <n v="41717"/>
    <x v="0"/>
    <x v="3"/>
    <x v="1"/>
    <n v="0"/>
    <x v="3"/>
    <s v="Mar"/>
    <x v="0"/>
  </r>
  <r>
    <s v="DE1102"/>
    <x v="1"/>
    <s v="Engine Mount"/>
    <x v="7"/>
    <d v="2025-03-06T00:00:00"/>
    <n v="12"/>
    <n v="4049"/>
    <n v="48588"/>
    <x v="0"/>
    <x v="6"/>
    <x v="0"/>
    <n v="2"/>
    <x v="2"/>
    <s v="Mar"/>
    <x v="0"/>
  </r>
  <r>
    <s v="DE1103"/>
    <x v="1"/>
    <s v="Clutch Assembly"/>
    <x v="6"/>
    <d v="2025-03-05T00:00:00"/>
    <n v="16"/>
    <n v="174"/>
    <n v="2784"/>
    <x v="2"/>
    <x v="5"/>
    <x v="1"/>
    <n v="0"/>
    <x v="1"/>
    <s v="Mar"/>
    <x v="0"/>
  </r>
  <r>
    <s v="DE1104"/>
    <x v="1"/>
    <s v="Chain"/>
    <x v="9"/>
    <d v="2025-03-04T00:00:00"/>
    <n v="5"/>
    <n v="1184"/>
    <n v="5920"/>
    <x v="1"/>
    <x v="5"/>
    <x v="1"/>
    <n v="10"/>
    <x v="2"/>
    <s v="Mar"/>
    <x v="0"/>
  </r>
  <r>
    <s v="DE1105"/>
    <x v="1"/>
    <s v="Engine Mount"/>
    <x v="11"/>
    <d v="2025-03-04T00:00:00"/>
    <n v="15"/>
    <n v="2039"/>
    <n v="30585"/>
    <x v="1"/>
    <x v="5"/>
    <x v="1"/>
    <n v="0"/>
    <x v="1"/>
    <s v="Mar"/>
    <x v="0"/>
  </r>
  <r>
    <s v="DE1106"/>
    <x v="1"/>
    <s v="Engine Mount"/>
    <x v="11"/>
    <d v="2025-03-02T00:00:00"/>
    <n v="12"/>
    <n v="877"/>
    <n v="10524"/>
    <x v="2"/>
    <x v="3"/>
    <x v="1"/>
    <n v="5"/>
    <x v="4"/>
    <s v="Mar"/>
    <x v="0"/>
  </r>
  <r>
    <s v="DE1107"/>
    <x v="1"/>
    <s v="Sprocket"/>
    <x v="6"/>
    <d v="2025-03-01T00:00:00"/>
    <n v="8"/>
    <n v="2303"/>
    <n v="18424"/>
    <x v="1"/>
    <x v="5"/>
    <x v="0"/>
    <n v="0"/>
    <x v="2"/>
    <s v="Mar"/>
    <x v="0"/>
  </r>
  <r>
    <s v="DE1108"/>
    <x v="1"/>
    <s v="Sprocket"/>
    <x v="14"/>
    <d v="2025-02-24T00:00:00"/>
    <n v="14"/>
    <n v="3400"/>
    <n v="47600"/>
    <x v="2"/>
    <x v="0"/>
    <x v="0"/>
    <n v="0"/>
    <x v="2"/>
    <s v="Feb"/>
    <x v="0"/>
  </r>
  <r>
    <s v="DE1109"/>
    <x v="1"/>
    <s v="Fuel Pipe"/>
    <x v="11"/>
    <d v="2025-02-17T00:00:00"/>
    <n v="4"/>
    <n v="4466"/>
    <n v="17864"/>
    <x v="2"/>
    <x v="5"/>
    <x v="1"/>
    <n v="10"/>
    <x v="2"/>
    <s v="Feb"/>
    <x v="0"/>
  </r>
  <r>
    <s v="DE1110"/>
    <x v="1"/>
    <s v="Chain"/>
    <x v="3"/>
    <d v="2025-02-09T00:00:00"/>
    <n v="9"/>
    <n v="2140"/>
    <n v="19260"/>
    <x v="1"/>
    <x v="1"/>
    <x v="2"/>
    <n v="0"/>
    <x v="4"/>
    <s v="Feb"/>
    <x v="0"/>
  </r>
  <r>
    <s v="DE1111"/>
    <x v="1"/>
    <s v="Clutch Assembly"/>
    <x v="16"/>
    <d v="2025-02-07T00:00:00"/>
    <n v="9"/>
    <n v="3810"/>
    <n v="34290"/>
    <x v="0"/>
    <x v="6"/>
    <x v="0"/>
    <n v="0"/>
    <x v="4"/>
    <s v="Feb"/>
    <x v="0"/>
  </r>
  <r>
    <s v="DE1112"/>
    <x v="1"/>
    <s v="Chain"/>
    <x v="9"/>
    <d v="2025-02-06T00:00:00"/>
    <n v="13"/>
    <n v="3977"/>
    <n v="51701"/>
    <x v="0"/>
    <x v="3"/>
    <x v="0"/>
    <n v="0"/>
    <x v="3"/>
    <s v="Feb"/>
    <x v="0"/>
  </r>
  <r>
    <s v="DE1113"/>
    <x v="1"/>
    <s v="Fuel Pipe"/>
    <x v="13"/>
    <d v="2025-02-03T00:00:00"/>
    <n v="3"/>
    <n v="2888"/>
    <n v="8664"/>
    <x v="0"/>
    <x v="0"/>
    <x v="1"/>
    <n v="2"/>
    <x v="4"/>
    <s v="Feb"/>
    <x v="0"/>
  </r>
  <r>
    <s v="DE1114"/>
    <x v="1"/>
    <s v="CVT Belt"/>
    <x v="15"/>
    <d v="2025-01-28T00:00:00"/>
    <n v="14"/>
    <n v="2825"/>
    <n v="39550"/>
    <x v="1"/>
    <x v="2"/>
    <x v="1"/>
    <n v="0"/>
    <x v="3"/>
    <s v="Jan"/>
    <x v="0"/>
  </r>
  <r>
    <s v="DE1115"/>
    <x v="1"/>
    <s v="Sprocket"/>
    <x v="17"/>
    <d v="2025-01-17T00:00:00"/>
    <n v="11"/>
    <n v="727"/>
    <n v="7997"/>
    <x v="0"/>
    <x v="2"/>
    <x v="2"/>
    <n v="10"/>
    <x v="2"/>
    <s v="Jan"/>
    <x v="0"/>
  </r>
  <r>
    <s v="DE1116"/>
    <x v="1"/>
    <s v="Engine Mount"/>
    <x v="10"/>
    <d v="2025-01-14T00:00:00"/>
    <n v="4"/>
    <n v="943"/>
    <n v="3772"/>
    <x v="2"/>
    <x v="2"/>
    <x v="2"/>
    <n v="0"/>
    <x v="0"/>
    <s v="Jan"/>
    <x v="0"/>
  </r>
  <r>
    <s v="DE1117"/>
    <x v="1"/>
    <s v="Clutch Assembly"/>
    <x v="17"/>
    <d v="2025-01-14T00:00:00"/>
    <n v="12"/>
    <n v="1899"/>
    <n v="22788"/>
    <x v="2"/>
    <x v="4"/>
    <x v="1"/>
    <n v="0"/>
    <x v="4"/>
    <s v="Jan"/>
    <x v="0"/>
  </r>
  <r>
    <s v="DE1118"/>
    <x v="1"/>
    <s v="Clutch Assembly"/>
    <x v="4"/>
    <d v="2025-01-11T00:00:00"/>
    <n v="15"/>
    <n v="1837"/>
    <n v="27555"/>
    <x v="0"/>
    <x v="5"/>
    <x v="0"/>
    <n v="7"/>
    <x v="2"/>
    <s v="Jan"/>
    <x v="0"/>
  </r>
  <r>
    <s v="DE1119"/>
    <x v="1"/>
    <s v="Fuel Pipe"/>
    <x v="0"/>
    <d v="2025-01-09T00:00:00"/>
    <n v="19"/>
    <n v="630"/>
    <n v="11970"/>
    <x v="2"/>
    <x v="4"/>
    <x v="0"/>
    <n v="10"/>
    <x v="0"/>
    <s v="Jan"/>
    <x v="0"/>
  </r>
  <r>
    <s v="DE1120"/>
    <x v="1"/>
    <s v="Sprocket"/>
    <x v="10"/>
    <d v="2025-01-06T00:00:00"/>
    <n v="7"/>
    <n v="2992"/>
    <n v="20944"/>
    <x v="1"/>
    <x v="1"/>
    <x v="2"/>
    <n v="10"/>
    <x v="1"/>
    <s v="Jan"/>
    <x v="0"/>
  </r>
  <r>
    <s v="DE1121"/>
    <x v="1"/>
    <s v="Fuel Pipe"/>
    <x v="19"/>
    <d v="2025-01-05T00:00:00"/>
    <n v="19"/>
    <n v="1554"/>
    <n v="29526"/>
    <x v="1"/>
    <x v="0"/>
    <x v="1"/>
    <n v="7"/>
    <x v="1"/>
    <s v="Jan"/>
    <x v="0"/>
  </r>
  <r>
    <s v="DE1122"/>
    <x v="1"/>
    <s v="CVT Belt"/>
    <x v="15"/>
    <d v="2025-01-05T00:00:00"/>
    <n v="16"/>
    <n v="3410"/>
    <n v="54560"/>
    <x v="0"/>
    <x v="0"/>
    <x v="2"/>
    <n v="0"/>
    <x v="1"/>
    <s v="Jan"/>
    <x v="0"/>
  </r>
  <r>
    <s v="DE1123"/>
    <x v="1"/>
    <s v="Chain"/>
    <x v="8"/>
    <d v="2024-12-31T00:00:00"/>
    <n v="11"/>
    <n v="1017"/>
    <n v="11187"/>
    <x v="0"/>
    <x v="6"/>
    <x v="1"/>
    <n v="0"/>
    <x v="0"/>
    <s v="Dec"/>
    <x v="1"/>
  </r>
  <r>
    <s v="DE1124"/>
    <x v="1"/>
    <s v="CVT Belt"/>
    <x v="0"/>
    <d v="2024-12-29T00:00:00"/>
    <n v="2"/>
    <n v="172"/>
    <n v="344"/>
    <x v="0"/>
    <x v="5"/>
    <x v="2"/>
    <n v="7"/>
    <x v="4"/>
    <s v="Dec"/>
    <x v="1"/>
  </r>
  <r>
    <s v="DE1125"/>
    <x v="1"/>
    <s v="CVT Belt"/>
    <x v="5"/>
    <d v="2024-12-29T00:00:00"/>
    <n v="8"/>
    <n v="4377"/>
    <n v="35016"/>
    <x v="0"/>
    <x v="0"/>
    <x v="1"/>
    <n v="0"/>
    <x v="3"/>
    <s v="Dec"/>
    <x v="1"/>
  </r>
  <r>
    <s v="DE1126"/>
    <x v="1"/>
    <s v="Sprocket"/>
    <x v="15"/>
    <d v="2024-12-27T00:00:00"/>
    <n v="16"/>
    <n v="1270"/>
    <n v="20320"/>
    <x v="0"/>
    <x v="6"/>
    <x v="2"/>
    <n v="0"/>
    <x v="2"/>
    <s v="Dec"/>
    <x v="1"/>
  </r>
  <r>
    <s v="DE1127"/>
    <x v="1"/>
    <s v="Chain"/>
    <x v="19"/>
    <d v="2024-12-27T00:00:00"/>
    <n v="7"/>
    <n v="1676"/>
    <n v="11732"/>
    <x v="0"/>
    <x v="2"/>
    <x v="0"/>
    <n v="7"/>
    <x v="0"/>
    <s v="Dec"/>
    <x v="1"/>
  </r>
  <r>
    <s v="DE1128"/>
    <x v="1"/>
    <s v="CVT Belt"/>
    <x v="16"/>
    <d v="2024-12-25T00:00:00"/>
    <n v="10"/>
    <n v="1935"/>
    <n v="19350"/>
    <x v="0"/>
    <x v="6"/>
    <x v="0"/>
    <n v="2"/>
    <x v="3"/>
    <s v="Dec"/>
    <x v="1"/>
  </r>
  <r>
    <s v="DE1129"/>
    <x v="1"/>
    <s v="Sprocket"/>
    <x v="9"/>
    <d v="2024-12-23T00:00:00"/>
    <n v="2"/>
    <n v="2704"/>
    <n v="5408"/>
    <x v="1"/>
    <x v="3"/>
    <x v="1"/>
    <n v="0"/>
    <x v="3"/>
    <s v="Dec"/>
    <x v="1"/>
  </r>
  <r>
    <s v="DE1130"/>
    <x v="1"/>
    <s v="Fuel Pipe"/>
    <x v="9"/>
    <d v="2024-12-17T00:00:00"/>
    <n v="7"/>
    <n v="3993"/>
    <n v="27951"/>
    <x v="1"/>
    <x v="6"/>
    <x v="1"/>
    <n v="0"/>
    <x v="0"/>
    <s v="Dec"/>
    <x v="1"/>
  </r>
  <r>
    <s v="DE1131"/>
    <x v="1"/>
    <s v="Fuel Pipe"/>
    <x v="17"/>
    <d v="2024-12-14T00:00:00"/>
    <n v="20"/>
    <n v="4273"/>
    <n v="85460"/>
    <x v="0"/>
    <x v="1"/>
    <x v="2"/>
    <n v="2"/>
    <x v="0"/>
    <s v="Dec"/>
    <x v="1"/>
  </r>
  <r>
    <s v="DE1132"/>
    <x v="1"/>
    <s v="CVT Belt"/>
    <x v="13"/>
    <d v="2024-12-09T00:00:00"/>
    <n v="18"/>
    <n v="1753"/>
    <n v="31554"/>
    <x v="0"/>
    <x v="6"/>
    <x v="2"/>
    <n v="7"/>
    <x v="2"/>
    <s v="Dec"/>
    <x v="1"/>
  </r>
  <r>
    <s v="DE1133"/>
    <x v="1"/>
    <s v="Fuel Pipe"/>
    <x v="12"/>
    <d v="2024-12-05T00:00:00"/>
    <n v="4"/>
    <n v="1651"/>
    <n v="6604"/>
    <x v="2"/>
    <x v="4"/>
    <x v="0"/>
    <n v="7"/>
    <x v="1"/>
    <s v="Dec"/>
    <x v="1"/>
  </r>
  <r>
    <s v="DE1134"/>
    <x v="1"/>
    <s v="Engine Mount"/>
    <x v="3"/>
    <d v="2024-11-24T00:00:00"/>
    <n v="4"/>
    <n v="3060"/>
    <n v="12240"/>
    <x v="1"/>
    <x v="6"/>
    <x v="0"/>
    <n v="5"/>
    <x v="3"/>
    <s v="Nov"/>
    <x v="1"/>
  </r>
  <r>
    <s v="DE1135"/>
    <x v="1"/>
    <s v="CVT Belt"/>
    <x v="7"/>
    <d v="2024-11-18T00:00:00"/>
    <n v="2"/>
    <n v="1242"/>
    <n v="2484"/>
    <x v="2"/>
    <x v="1"/>
    <x v="1"/>
    <n v="5"/>
    <x v="0"/>
    <s v="Nov"/>
    <x v="1"/>
  </r>
  <r>
    <s v="DE1136"/>
    <x v="1"/>
    <s v="Clutch Assembly"/>
    <x v="9"/>
    <d v="2024-11-16T00:00:00"/>
    <n v="7"/>
    <n v="3384"/>
    <n v="23688"/>
    <x v="1"/>
    <x v="5"/>
    <x v="0"/>
    <n v="7"/>
    <x v="1"/>
    <s v="Nov"/>
    <x v="1"/>
  </r>
  <r>
    <s v="DE1137"/>
    <x v="1"/>
    <s v="Fuel Pipe"/>
    <x v="3"/>
    <d v="2024-11-13T00:00:00"/>
    <n v="2"/>
    <n v="3659"/>
    <n v="7318"/>
    <x v="1"/>
    <x v="6"/>
    <x v="2"/>
    <n v="7"/>
    <x v="0"/>
    <s v="Nov"/>
    <x v="1"/>
  </r>
  <r>
    <s v="DE1138"/>
    <x v="1"/>
    <s v="Fuel Pipe"/>
    <x v="16"/>
    <d v="2024-11-12T00:00:00"/>
    <n v="14"/>
    <n v="1959"/>
    <n v="27426"/>
    <x v="0"/>
    <x v="0"/>
    <x v="0"/>
    <n v="10"/>
    <x v="1"/>
    <s v="Nov"/>
    <x v="1"/>
  </r>
  <r>
    <s v="DE1139"/>
    <x v="1"/>
    <s v="Fuel Pipe"/>
    <x v="1"/>
    <d v="2024-11-06T00:00:00"/>
    <n v="5"/>
    <n v="2985"/>
    <n v="14925"/>
    <x v="0"/>
    <x v="4"/>
    <x v="2"/>
    <n v="0"/>
    <x v="0"/>
    <s v="Nov"/>
    <x v="1"/>
  </r>
  <r>
    <s v="DE1140"/>
    <x v="1"/>
    <s v="CVT Belt"/>
    <x v="0"/>
    <d v="2024-11-01T00:00:00"/>
    <n v="11"/>
    <n v="3131"/>
    <n v="34441"/>
    <x v="1"/>
    <x v="0"/>
    <x v="1"/>
    <n v="0"/>
    <x v="1"/>
    <s v="Nov"/>
    <x v="1"/>
  </r>
  <r>
    <s v="DE1141"/>
    <x v="1"/>
    <s v="Engine Mount"/>
    <x v="18"/>
    <d v="2024-10-25T00:00:00"/>
    <n v="9"/>
    <n v="3847"/>
    <n v="34623"/>
    <x v="0"/>
    <x v="2"/>
    <x v="1"/>
    <n v="7"/>
    <x v="2"/>
    <s v="Oct"/>
    <x v="1"/>
  </r>
  <r>
    <s v="DE1142"/>
    <x v="1"/>
    <s v="Engine Mount"/>
    <x v="12"/>
    <d v="2024-10-20T00:00:00"/>
    <n v="3"/>
    <n v="2874"/>
    <n v="8622"/>
    <x v="2"/>
    <x v="5"/>
    <x v="1"/>
    <n v="7"/>
    <x v="2"/>
    <s v="Oct"/>
    <x v="1"/>
  </r>
  <r>
    <s v="DE1143"/>
    <x v="1"/>
    <s v="Sprocket"/>
    <x v="18"/>
    <d v="2024-10-19T00:00:00"/>
    <n v="9"/>
    <n v="2622"/>
    <n v="23598"/>
    <x v="2"/>
    <x v="0"/>
    <x v="0"/>
    <n v="0"/>
    <x v="0"/>
    <s v="Oct"/>
    <x v="1"/>
  </r>
  <r>
    <s v="DE1144"/>
    <x v="1"/>
    <s v="Chain"/>
    <x v="15"/>
    <d v="2024-10-02T00:00:00"/>
    <n v="3"/>
    <n v="2944"/>
    <n v="8832"/>
    <x v="0"/>
    <x v="5"/>
    <x v="0"/>
    <n v="0"/>
    <x v="0"/>
    <s v="Oct"/>
    <x v="1"/>
  </r>
  <r>
    <s v="DE1145"/>
    <x v="1"/>
    <s v="CVT Belt"/>
    <x v="6"/>
    <d v="2024-10-01T00:00:00"/>
    <n v="12"/>
    <n v="2639"/>
    <n v="31668"/>
    <x v="0"/>
    <x v="4"/>
    <x v="2"/>
    <n v="7"/>
    <x v="4"/>
    <s v="Oct"/>
    <x v="1"/>
  </r>
  <r>
    <s v="DE1146"/>
    <x v="1"/>
    <s v="CVT Belt"/>
    <x v="19"/>
    <d v="2024-09-25T00:00:00"/>
    <n v="12"/>
    <n v="3511"/>
    <n v="42132"/>
    <x v="2"/>
    <x v="3"/>
    <x v="0"/>
    <n v="5"/>
    <x v="1"/>
    <s v="Sep"/>
    <x v="1"/>
  </r>
  <r>
    <s v="DE1147"/>
    <x v="1"/>
    <s v="CVT Belt"/>
    <x v="0"/>
    <d v="2024-09-23T00:00:00"/>
    <n v="9"/>
    <n v="2126"/>
    <n v="19134"/>
    <x v="1"/>
    <x v="2"/>
    <x v="1"/>
    <n v="5"/>
    <x v="1"/>
    <s v="Sep"/>
    <x v="1"/>
  </r>
  <r>
    <s v="DE1148"/>
    <x v="1"/>
    <s v="Sprocket"/>
    <x v="12"/>
    <d v="2024-09-19T00:00:00"/>
    <n v="10"/>
    <n v="450"/>
    <n v="4500"/>
    <x v="1"/>
    <x v="4"/>
    <x v="2"/>
    <n v="0"/>
    <x v="1"/>
    <s v="Sep"/>
    <x v="1"/>
  </r>
  <r>
    <s v="DE1149"/>
    <x v="1"/>
    <s v="Clutch Assembly"/>
    <x v="8"/>
    <d v="2024-09-16T00:00:00"/>
    <n v="19"/>
    <n v="2288"/>
    <n v="43472"/>
    <x v="0"/>
    <x v="0"/>
    <x v="2"/>
    <n v="2"/>
    <x v="0"/>
    <s v="Sep"/>
    <x v="1"/>
  </r>
  <r>
    <s v="DE1150"/>
    <x v="1"/>
    <s v="Chain"/>
    <x v="0"/>
    <d v="2024-09-13T00:00:00"/>
    <n v="3"/>
    <n v="4308"/>
    <n v="12924"/>
    <x v="2"/>
    <x v="1"/>
    <x v="1"/>
    <n v="7"/>
    <x v="0"/>
    <s v="Sep"/>
    <x v="1"/>
  </r>
  <r>
    <s v="DE1151"/>
    <x v="1"/>
    <s v="CVT Belt"/>
    <x v="9"/>
    <d v="2024-09-11T00:00:00"/>
    <n v="16"/>
    <n v="1747"/>
    <n v="27952"/>
    <x v="0"/>
    <x v="5"/>
    <x v="0"/>
    <n v="7"/>
    <x v="0"/>
    <s v="Sep"/>
    <x v="1"/>
  </r>
  <r>
    <s v="DE1152"/>
    <x v="1"/>
    <s v="Chain"/>
    <x v="15"/>
    <d v="2024-09-11T00:00:00"/>
    <n v="20"/>
    <n v="4054"/>
    <n v="81080"/>
    <x v="1"/>
    <x v="3"/>
    <x v="1"/>
    <n v="0"/>
    <x v="3"/>
    <s v="Sep"/>
    <x v="1"/>
  </r>
  <r>
    <s v="DE1153"/>
    <x v="1"/>
    <s v="Engine Mount"/>
    <x v="18"/>
    <d v="2024-09-10T00:00:00"/>
    <n v="4"/>
    <n v="2996"/>
    <n v="11984"/>
    <x v="0"/>
    <x v="1"/>
    <x v="1"/>
    <n v="0"/>
    <x v="0"/>
    <s v="Sep"/>
    <x v="1"/>
  </r>
  <r>
    <s v="DE1154"/>
    <x v="1"/>
    <s v="Clutch Assembly"/>
    <x v="0"/>
    <d v="2024-09-10T00:00:00"/>
    <n v="10"/>
    <n v="4278"/>
    <n v="42780"/>
    <x v="1"/>
    <x v="6"/>
    <x v="1"/>
    <n v="0"/>
    <x v="3"/>
    <s v="Sep"/>
    <x v="1"/>
  </r>
  <r>
    <s v="DE1155"/>
    <x v="1"/>
    <s v="Sprocket"/>
    <x v="6"/>
    <d v="2024-09-08T00:00:00"/>
    <n v="17"/>
    <n v="2462"/>
    <n v="41854"/>
    <x v="0"/>
    <x v="5"/>
    <x v="1"/>
    <n v="7"/>
    <x v="1"/>
    <s v="Sep"/>
    <x v="1"/>
  </r>
  <r>
    <s v="DE1156"/>
    <x v="1"/>
    <s v="Clutch Assembly"/>
    <x v="12"/>
    <d v="2024-08-31T00:00:00"/>
    <n v="9"/>
    <n v="389"/>
    <n v="3501"/>
    <x v="1"/>
    <x v="3"/>
    <x v="2"/>
    <n v="10"/>
    <x v="4"/>
    <s v="Aug"/>
    <x v="1"/>
  </r>
  <r>
    <s v="DE1157"/>
    <x v="1"/>
    <s v="Clutch Assembly"/>
    <x v="13"/>
    <d v="2024-08-29T00:00:00"/>
    <n v="10"/>
    <n v="2251"/>
    <n v="22510"/>
    <x v="2"/>
    <x v="0"/>
    <x v="1"/>
    <n v="5"/>
    <x v="4"/>
    <s v="Aug"/>
    <x v="1"/>
  </r>
  <r>
    <s v="DE1158"/>
    <x v="1"/>
    <s v="Sprocket"/>
    <x v="3"/>
    <d v="2024-08-28T00:00:00"/>
    <n v="9"/>
    <n v="1736"/>
    <n v="15624"/>
    <x v="0"/>
    <x v="4"/>
    <x v="2"/>
    <n v="10"/>
    <x v="3"/>
    <s v="Aug"/>
    <x v="1"/>
  </r>
  <r>
    <s v="DE1159"/>
    <x v="1"/>
    <s v="CVT Belt"/>
    <x v="7"/>
    <d v="2024-08-23T00:00:00"/>
    <n v="5"/>
    <n v="212"/>
    <n v="1060"/>
    <x v="0"/>
    <x v="6"/>
    <x v="1"/>
    <n v="0"/>
    <x v="0"/>
    <s v="Aug"/>
    <x v="1"/>
  </r>
  <r>
    <s v="DE1160"/>
    <x v="1"/>
    <s v="CVT Belt"/>
    <x v="10"/>
    <d v="2024-08-10T00:00:00"/>
    <n v="2"/>
    <n v="199"/>
    <n v="398"/>
    <x v="2"/>
    <x v="6"/>
    <x v="1"/>
    <n v="0"/>
    <x v="0"/>
    <s v="Aug"/>
    <x v="1"/>
  </r>
  <r>
    <s v="DE1161"/>
    <x v="1"/>
    <s v="Engine Mount"/>
    <x v="1"/>
    <d v="2024-08-06T00:00:00"/>
    <n v="14"/>
    <n v="1559"/>
    <n v="21826"/>
    <x v="0"/>
    <x v="1"/>
    <x v="1"/>
    <n v="5"/>
    <x v="4"/>
    <s v="Aug"/>
    <x v="1"/>
  </r>
  <r>
    <s v="DE1162"/>
    <x v="1"/>
    <s v="Engine Mount"/>
    <x v="10"/>
    <d v="2024-08-06T00:00:00"/>
    <n v="9"/>
    <n v="2284"/>
    <n v="20556"/>
    <x v="2"/>
    <x v="1"/>
    <x v="0"/>
    <n v="2"/>
    <x v="4"/>
    <s v="Aug"/>
    <x v="1"/>
  </r>
  <r>
    <s v="DE1163"/>
    <x v="1"/>
    <s v="Engine Mount"/>
    <x v="19"/>
    <d v="2024-08-03T00:00:00"/>
    <n v="15"/>
    <n v="3235"/>
    <n v="48525"/>
    <x v="2"/>
    <x v="6"/>
    <x v="2"/>
    <n v="0"/>
    <x v="0"/>
    <s v="Aug"/>
    <x v="1"/>
  </r>
  <r>
    <s v="DE1164"/>
    <x v="1"/>
    <s v="Fuel Pipe"/>
    <x v="2"/>
    <d v="2024-07-30T00:00:00"/>
    <n v="10"/>
    <n v="2905"/>
    <n v="29050"/>
    <x v="0"/>
    <x v="6"/>
    <x v="0"/>
    <n v="7"/>
    <x v="3"/>
    <s v="Jul"/>
    <x v="1"/>
  </r>
  <r>
    <s v="DE1165"/>
    <x v="1"/>
    <s v="Sprocket"/>
    <x v="18"/>
    <d v="2024-07-24T00:00:00"/>
    <n v="2"/>
    <n v="1425"/>
    <n v="2850"/>
    <x v="2"/>
    <x v="1"/>
    <x v="1"/>
    <n v="2"/>
    <x v="1"/>
    <s v="Jul"/>
    <x v="1"/>
  </r>
  <r>
    <s v="DE1166"/>
    <x v="1"/>
    <s v="Sprocket"/>
    <x v="3"/>
    <d v="2024-07-22T00:00:00"/>
    <n v="7"/>
    <n v="671"/>
    <n v="4697"/>
    <x v="2"/>
    <x v="3"/>
    <x v="1"/>
    <n v="7"/>
    <x v="2"/>
    <s v="Jul"/>
    <x v="1"/>
  </r>
  <r>
    <s v="DE1167"/>
    <x v="1"/>
    <s v="CVT Belt"/>
    <x v="5"/>
    <d v="2024-07-20T00:00:00"/>
    <n v="3"/>
    <n v="3657"/>
    <n v="10971"/>
    <x v="1"/>
    <x v="5"/>
    <x v="2"/>
    <n v="5"/>
    <x v="4"/>
    <s v="Jul"/>
    <x v="1"/>
  </r>
  <r>
    <s v="DE1168"/>
    <x v="1"/>
    <s v="Sprocket"/>
    <x v="19"/>
    <d v="2024-07-17T00:00:00"/>
    <n v="6"/>
    <n v="4215"/>
    <n v="25290"/>
    <x v="0"/>
    <x v="6"/>
    <x v="2"/>
    <n v="0"/>
    <x v="1"/>
    <s v="Jul"/>
    <x v="1"/>
  </r>
  <r>
    <s v="DE1169"/>
    <x v="1"/>
    <s v="Chain"/>
    <x v="19"/>
    <d v="2024-07-14T00:00:00"/>
    <n v="14"/>
    <n v="3296"/>
    <n v="46144"/>
    <x v="0"/>
    <x v="4"/>
    <x v="2"/>
    <n v="7"/>
    <x v="2"/>
    <s v="Jul"/>
    <x v="1"/>
  </r>
  <r>
    <s v="DE1170"/>
    <x v="1"/>
    <s v="Fuel Pipe"/>
    <x v="18"/>
    <d v="2024-07-12T00:00:00"/>
    <n v="8"/>
    <n v="445"/>
    <n v="3560"/>
    <x v="0"/>
    <x v="2"/>
    <x v="1"/>
    <n v="0"/>
    <x v="2"/>
    <s v="Jul"/>
    <x v="1"/>
  </r>
  <r>
    <s v="DE1171"/>
    <x v="1"/>
    <s v="Fuel Pipe"/>
    <x v="13"/>
    <d v="2024-07-09T00:00:00"/>
    <n v="19"/>
    <n v="2240"/>
    <n v="42560"/>
    <x v="1"/>
    <x v="3"/>
    <x v="0"/>
    <n v="10"/>
    <x v="4"/>
    <s v="Jul"/>
    <x v="1"/>
  </r>
  <r>
    <s v="DE1172"/>
    <x v="1"/>
    <s v="Engine Mount"/>
    <x v="17"/>
    <d v="2024-07-08T00:00:00"/>
    <n v="10"/>
    <n v="1414"/>
    <n v="14140"/>
    <x v="0"/>
    <x v="6"/>
    <x v="1"/>
    <n v="2"/>
    <x v="3"/>
    <s v="Jul"/>
    <x v="1"/>
  </r>
  <r>
    <s v="DE1173"/>
    <x v="1"/>
    <s v="Chain"/>
    <x v="5"/>
    <d v="2024-07-05T00:00:00"/>
    <n v="7"/>
    <n v="2164"/>
    <n v="15148"/>
    <x v="1"/>
    <x v="6"/>
    <x v="2"/>
    <n v="0"/>
    <x v="3"/>
    <s v="Jul"/>
    <x v="1"/>
  </r>
  <r>
    <s v="DE1174"/>
    <x v="1"/>
    <s v="Engine Mount"/>
    <x v="3"/>
    <d v="2024-06-25T00:00:00"/>
    <n v="9"/>
    <n v="4500"/>
    <n v="40500"/>
    <x v="0"/>
    <x v="3"/>
    <x v="1"/>
    <n v="10"/>
    <x v="4"/>
    <s v="Jun"/>
    <x v="1"/>
  </r>
  <r>
    <s v="DE1175"/>
    <x v="1"/>
    <s v="Sprocket"/>
    <x v="13"/>
    <d v="2024-06-23T00:00:00"/>
    <n v="17"/>
    <n v="141"/>
    <n v="2397"/>
    <x v="1"/>
    <x v="4"/>
    <x v="0"/>
    <n v="2"/>
    <x v="2"/>
    <s v="Jun"/>
    <x v="1"/>
  </r>
  <r>
    <s v="DE1176"/>
    <x v="1"/>
    <s v="Clutch Assembly"/>
    <x v="13"/>
    <d v="2024-06-23T00:00:00"/>
    <n v="14"/>
    <n v="2386"/>
    <n v="33404"/>
    <x v="1"/>
    <x v="6"/>
    <x v="0"/>
    <n v="0"/>
    <x v="1"/>
    <s v="Jun"/>
    <x v="1"/>
  </r>
  <r>
    <s v="DE1177"/>
    <x v="1"/>
    <s v="Chain"/>
    <x v="9"/>
    <d v="2024-06-16T00:00:00"/>
    <n v="20"/>
    <n v="1914"/>
    <n v="38280"/>
    <x v="2"/>
    <x v="3"/>
    <x v="0"/>
    <n v="10"/>
    <x v="2"/>
    <s v="Jun"/>
    <x v="1"/>
  </r>
  <r>
    <s v="DE1178"/>
    <x v="1"/>
    <s v="Chain"/>
    <x v="10"/>
    <d v="2024-06-09T00:00:00"/>
    <n v="8"/>
    <n v="2772"/>
    <n v="22176"/>
    <x v="1"/>
    <x v="6"/>
    <x v="1"/>
    <n v="2"/>
    <x v="4"/>
    <s v="Jun"/>
    <x v="1"/>
  </r>
  <r>
    <s v="DE1179"/>
    <x v="1"/>
    <s v="Fuel Pipe"/>
    <x v="13"/>
    <d v="2024-06-07T00:00:00"/>
    <n v="18"/>
    <n v="3489"/>
    <n v="62802"/>
    <x v="0"/>
    <x v="1"/>
    <x v="1"/>
    <n v="0"/>
    <x v="1"/>
    <s v="Jun"/>
    <x v="1"/>
  </r>
  <r>
    <s v="DE1180"/>
    <x v="2"/>
    <s v="Mounting Plate"/>
    <x v="15"/>
    <d v="2025-03-28T00:00:00"/>
    <n v="13"/>
    <n v="3335"/>
    <n v="43355"/>
    <x v="2"/>
    <x v="6"/>
    <x v="1"/>
    <n v="0"/>
    <x v="1"/>
    <s v="Mar"/>
    <x v="0"/>
  </r>
  <r>
    <s v="DE1181"/>
    <x v="2"/>
    <s v="AISI Pipe"/>
    <x v="9"/>
    <d v="2025-03-27T00:00:00"/>
    <n v="5"/>
    <n v="3610"/>
    <n v="18050"/>
    <x v="0"/>
    <x v="6"/>
    <x v="1"/>
    <n v="0"/>
    <x v="3"/>
    <s v="Mar"/>
    <x v="0"/>
  </r>
  <r>
    <s v="DE1182"/>
    <x v="2"/>
    <s v="Welding Rod"/>
    <x v="1"/>
    <d v="2025-03-18T00:00:00"/>
    <n v="19"/>
    <n v="2089"/>
    <n v="39691"/>
    <x v="0"/>
    <x v="2"/>
    <x v="0"/>
    <n v="10"/>
    <x v="4"/>
    <s v="Mar"/>
    <x v="0"/>
  </r>
  <r>
    <s v="DE1183"/>
    <x v="2"/>
    <s v="Mounting Plate"/>
    <x v="4"/>
    <d v="2025-03-11T00:00:00"/>
    <n v="17"/>
    <n v="184"/>
    <n v="3128"/>
    <x v="1"/>
    <x v="2"/>
    <x v="0"/>
    <n v="0"/>
    <x v="1"/>
    <s v="Mar"/>
    <x v="0"/>
  </r>
  <r>
    <s v="DE1184"/>
    <x v="2"/>
    <s v="Mounting Plate"/>
    <x v="16"/>
    <d v="2025-03-07T00:00:00"/>
    <n v="16"/>
    <n v="1720"/>
    <n v="27520"/>
    <x v="1"/>
    <x v="4"/>
    <x v="2"/>
    <n v="0"/>
    <x v="4"/>
    <s v="Mar"/>
    <x v="0"/>
  </r>
  <r>
    <s v="DE1185"/>
    <x v="2"/>
    <s v="Safety Net"/>
    <x v="16"/>
    <d v="2025-02-25T00:00:00"/>
    <n v="5"/>
    <n v="1195"/>
    <n v="5975"/>
    <x v="1"/>
    <x v="3"/>
    <x v="0"/>
    <n v="10"/>
    <x v="3"/>
    <s v="Feb"/>
    <x v="0"/>
  </r>
  <r>
    <s v="DE1186"/>
    <x v="2"/>
    <s v="AISI Pipe"/>
    <x v="3"/>
    <d v="2025-02-09T00:00:00"/>
    <n v="2"/>
    <n v="2424"/>
    <n v="4848"/>
    <x v="0"/>
    <x v="5"/>
    <x v="0"/>
    <n v="0"/>
    <x v="4"/>
    <s v="Feb"/>
    <x v="0"/>
  </r>
  <r>
    <s v="DE1187"/>
    <x v="2"/>
    <s v="Safety Net"/>
    <x v="0"/>
    <d v="2025-02-08T00:00:00"/>
    <n v="18"/>
    <n v="4415"/>
    <n v="79470"/>
    <x v="0"/>
    <x v="5"/>
    <x v="0"/>
    <n v="0"/>
    <x v="0"/>
    <s v="Feb"/>
    <x v="0"/>
  </r>
  <r>
    <s v="DE1188"/>
    <x v="2"/>
    <s v="Welding Rod"/>
    <x v="16"/>
    <d v="2025-02-04T00:00:00"/>
    <n v="9"/>
    <n v="4390"/>
    <n v="39510"/>
    <x v="2"/>
    <x v="6"/>
    <x v="1"/>
    <n v="0"/>
    <x v="0"/>
    <s v="Feb"/>
    <x v="0"/>
  </r>
  <r>
    <s v="DE1189"/>
    <x v="2"/>
    <s v="Mounting Plate"/>
    <x v="7"/>
    <d v="2025-02-03T00:00:00"/>
    <n v="9"/>
    <n v="3523"/>
    <n v="31707"/>
    <x v="2"/>
    <x v="4"/>
    <x v="2"/>
    <n v="2"/>
    <x v="1"/>
    <s v="Feb"/>
    <x v="0"/>
  </r>
  <r>
    <s v="DE1190"/>
    <x v="2"/>
    <s v="Cutting Disc"/>
    <x v="17"/>
    <d v="2025-02-01T00:00:00"/>
    <n v="5"/>
    <n v="2836"/>
    <n v="14180"/>
    <x v="2"/>
    <x v="0"/>
    <x v="0"/>
    <n v="5"/>
    <x v="2"/>
    <s v="Feb"/>
    <x v="0"/>
  </r>
  <r>
    <s v="DE1191"/>
    <x v="2"/>
    <s v="Welding Rod"/>
    <x v="4"/>
    <d v="2025-01-25T00:00:00"/>
    <n v="2"/>
    <n v="1088"/>
    <n v="2176"/>
    <x v="2"/>
    <x v="4"/>
    <x v="1"/>
    <n v="7"/>
    <x v="4"/>
    <s v="Jan"/>
    <x v="0"/>
  </r>
  <r>
    <s v="DE1192"/>
    <x v="2"/>
    <s v="Cutting Disc"/>
    <x v="15"/>
    <d v="2025-01-25T00:00:00"/>
    <n v="17"/>
    <n v="4193"/>
    <n v="71281"/>
    <x v="0"/>
    <x v="5"/>
    <x v="0"/>
    <n v="0"/>
    <x v="0"/>
    <s v="Jan"/>
    <x v="0"/>
  </r>
  <r>
    <s v="DE1193"/>
    <x v="2"/>
    <s v="Welding Rod"/>
    <x v="1"/>
    <d v="2025-01-19T00:00:00"/>
    <n v="20"/>
    <n v="1713"/>
    <n v="34260"/>
    <x v="1"/>
    <x v="1"/>
    <x v="2"/>
    <n v="2"/>
    <x v="1"/>
    <s v="Jan"/>
    <x v="0"/>
  </r>
  <r>
    <s v="DE1194"/>
    <x v="2"/>
    <s v="Mounting Plate"/>
    <x v="1"/>
    <d v="2025-01-11T00:00:00"/>
    <n v="3"/>
    <n v="2426"/>
    <n v="7278"/>
    <x v="0"/>
    <x v="0"/>
    <x v="0"/>
    <n v="0"/>
    <x v="2"/>
    <s v="Jan"/>
    <x v="0"/>
  </r>
  <r>
    <s v="DE1195"/>
    <x v="2"/>
    <s v="Mounting Plate"/>
    <x v="7"/>
    <d v="2025-01-11T00:00:00"/>
    <n v="5"/>
    <n v="2479"/>
    <n v="12395"/>
    <x v="1"/>
    <x v="3"/>
    <x v="1"/>
    <n v="10"/>
    <x v="2"/>
    <s v="Jan"/>
    <x v="0"/>
  </r>
  <r>
    <s v="DE1196"/>
    <x v="2"/>
    <s v="Safety Net"/>
    <x v="14"/>
    <d v="2025-01-10T00:00:00"/>
    <n v="17"/>
    <n v="1327"/>
    <n v="22559"/>
    <x v="2"/>
    <x v="4"/>
    <x v="2"/>
    <n v="2"/>
    <x v="3"/>
    <s v="Jan"/>
    <x v="0"/>
  </r>
  <r>
    <s v="DE1197"/>
    <x v="2"/>
    <s v="Cutting Disc"/>
    <x v="10"/>
    <d v="2025-01-09T00:00:00"/>
    <n v="4"/>
    <n v="2524"/>
    <n v="10096"/>
    <x v="1"/>
    <x v="0"/>
    <x v="1"/>
    <n v="0"/>
    <x v="1"/>
    <s v="Jan"/>
    <x v="0"/>
  </r>
  <r>
    <s v="DE1198"/>
    <x v="2"/>
    <s v="Welding Rod"/>
    <x v="1"/>
    <d v="2025-01-03T00:00:00"/>
    <n v="9"/>
    <n v="1382"/>
    <n v="12438"/>
    <x v="2"/>
    <x v="3"/>
    <x v="0"/>
    <n v="5"/>
    <x v="1"/>
    <s v="Jan"/>
    <x v="0"/>
  </r>
  <r>
    <s v="DE1199"/>
    <x v="2"/>
    <s v="Safety Net"/>
    <x v="3"/>
    <d v="2024-12-31T00:00:00"/>
    <n v="11"/>
    <n v="2327"/>
    <n v="25597"/>
    <x v="1"/>
    <x v="2"/>
    <x v="0"/>
    <n v="0"/>
    <x v="3"/>
    <s v="Dec"/>
    <x v="1"/>
  </r>
  <r>
    <s v="DE1200"/>
    <x v="2"/>
    <s v="Safety Net"/>
    <x v="7"/>
    <d v="2024-12-23T00:00:00"/>
    <n v="4"/>
    <n v="655"/>
    <n v="2620"/>
    <x v="0"/>
    <x v="3"/>
    <x v="1"/>
    <n v="0"/>
    <x v="2"/>
    <s v="Dec"/>
    <x v="1"/>
  </r>
  <r>
    <s v="DE1201"/>
    <x v="2"/>
    <s v="Welding Rod"/>
    <x v="17"/>
    <d v="2024-12-22T00:00:00"/>
    <n v="4"/>
    <n v="3403"/>
    <n v="13612"/>
    <x v="2"/>
    <x v="6"/>
    <x v="0"/>
    <n v="10"/>
    <x v="2"/>
    <s v="Dec"/>
    <x v="1"/>
  </r>
  <r>
    <s v="DE1202"/>
    <x v="2"/>
    <s v="Safety Net"/>
    <x v="14"/>
    <d v="2024-12-10T00:00:00"/>
    <n v="15"/>
    <n v="3212"/>
    <n v="48180"/>
    <x v="0"/>
    <x v="2"/>
    <x v="2"/>
    <n v="7"/>
    <x v="4"/>
    <s v="Dec"/>
    <x v="1"/>
  </r>
  <r>
    <s v="DE1203"/>
    <x v="2"/>
    <s v="Welding Rod"/>
    <x v="2"/>
    <d v="2024-12-06T00:00:00"/>
    <n v="16"/>
    <n v="4195"/>
    <n v="67120"/>
    <x v="1"/>
    <x v="6"/>
    <x v="0"/>
    <n v="0"/>
    <x v="1"/>
    <s v="Dec"/>
    <x v="1"/>
  </r>
  <r>
    <s v="DE1204"/>
    <x v="2"/>
    <s v="Safety Net"/>
    <x v="10"/>
    <d v="2024-12-05T00:00:00"/>
    <n v="20"/>
    <n v="2930"/>
    <n v="58600"/>
    <x v="2"/>
    <x v="0"/>
    <x v="0"/>
    <n v="7"/>
    <x v="0"/>
    <s v="Dec"/>
    <x v="1"/>
  </r>
  <r>
    <s v="DE1205"/>
    <x v="2"/>
    <s v="Welding Rod"/>
    <x v="9"/>
    <d v="2024-11-29T00:00:00"/>
    <n v="16"/>
    <n v="1857"/>
    <n v="29712"/>
    <x v="2"/>
    <x v="6"/>
    <x v="1"/>
    <n v="0"/>
    <x v="1"/>
    <s v="Nov"/>
    <x v="1"/>
  </r>
  <r>
    <s v="DE1206"/>
    <x v="2"/>
    <s v="AISI Pipe"/>
    <x v="17"/>
    <d v="2024-11-25T00:00:00"/>
    <n v="10"/>
    <n v="767"/>
    <n v="7670"/>
    <x v="2"/>
    <x v="2"/>
    <x v="0"/>
    <n v="0"/>
    <x v="1"/>
    <s v="Nov"/>
    <x v="1"/>
  </r>
  <r>
    <s v="DE1207"/>
    <x v="2"/>
    <s v="Mounting Plate"/>
    <x v="10"/>
    <d v="2024-11-22T00:00:00"/>
    <n v="7"/>
    <n v="1188"/>
    <n v="8316"/>
    <x v="2"/>
    <x v="5"/>
    <x v="2"/>
    <n v="0"/>
    <x v="4"/>
    <s v="Nov"/>
    <x v="1"/>
  </r>
  <r>
    <s v="DE1208"/>
    <x v="2"/>
    <s v="AISI Pipe"/>
    <x v="2"/>
    <d v="2024-11-21T00:00:00"/>
    <n v="17"/>
    <n v="1954"/>
    <n v="33218"/>
    <x v="0"/>
    <x v="1"/>
    <x v="1"/>
    <n v="0"/>
    <x v="2"/>
    <s v="Nov"/>
    <x v="1"/>
  </r>
  <r>
    <s v="DE1209"/>
    <x v="2"/>
    <s v="Safety Net"/>
    <x v="18"/>
    <d v="2024-11-20T00:00:00"/>
    <n v="17"/>
    <n v="4413"/>
    <n v="75021"/>
    <x v="1"/>
    <x v="2"/>
    <x v="0"/>
    <n v="0"/>
    <x v="2"/>
    <s v="Nov"/>
    <x v="1"/>
  </r>
  <r>
    <s v="DE1210"/>
    <x v="2"/>
    <s v="AISI Pipe"/>
    <x v="10"/>
    <d v="2024-11-14T00:00:00"/>
    <n v="13"/>
    <n v="290"/>
    <n v="3770"/>
    <x v="0"/>
    <x v="5"/>
    <x v="1"/>
    <n v="0"/>
    <x v="3"/>
    <s v="Nov"/>
    <x v="1"/>
  </r>
  <r>
    <s v="DE1211"/>
    <x v="2"/>
    <s v="Mounting Plate"/>
    <x v="4"/>
    <d v="2024-11-13T00:00:00"/>
    <n v="9"/>
    <n v="1499"/>
    <n v="13491"/>
    <x v="0"/>
    <x v="6"/>
    <x v="1"/>
    <n v="7"/>
    <x v="2"/>
    <s v="Nov"/>
    <x v="1"/>
  </r>
  <r>
    <s v="DE1212"/>
    <x v="2"/>
    <s v="AISI Pipe"/>
    <x v="9"/>
    <d v="2024-11-07T00:00:00"/>
    <n v="11"/>
    <n v="2602"/>
    <n v="28622"/>
    <x v="2"/>
    <x v="5"/>
    <x v="1"/>
    <n v="0"/>
    <x v="2"/>
    <s v="Nov"/>
    <x v="1"/>
  </r>
  <r>
    <s v="DE1213"/>
    <x v="2"/>
    <s v="Welding Rod"/>
    <x v="17"/>
    <d v="2024-11-06T00:00:00"/>
    <n v="4"/>
    <n v="442"/>
    <n v="1768"/>
    <x v="0"/>
    <x v="3"/>
    <x v="1"/>
    <n v="0"/>
    <x v="0"/>
    <s v="Nov"/>
    <x v="1"/>
  </r>
  <r>
    <s v="DE1214"/>
    <x v="2"/>
    <s v="AISI Pipe"/>
    <x v="17"/>
    <d v="2024-11-05T00:00:00"/>
    <n v="3"/>
    <n v="162"/>
    <n v="486"/>
    <x v="2"/>
    <x v="6"/>
    <x v="2"/>
    <n v="0"/>
    <x v="3"/>
    <s v="Nov"/>
    <x v="1"/>
  </r>
  <r>
    <s v="DE1215"/>
    <x v="2"/>
    <s v="Welding Rod"/>
    <x v="13"/>
    <d v="2024-11-02T00:00:00"/>
    <n v="12"/>
    <n v="1589"/>
    <n v="19068"/>
    <x v="0"/>
    <x v="2"/>
    <x v="0"/>
    <n v="0"/>
    <x v="1"/>
    <s v="Nov"/>
    <x v="1"/>
  </r>
  <r>
    <s v="DE1216"/>
    <x v="2"/>
    <s v="Safety Net"/>
    <x v="1"/>
    <d v="2024-11-01T00:00:00"/>
    <n v="14"/>
    <n v="1342"/>
    <n v="18788"/>
    <x v="0"/>
    <x v="4"/>
    <x v="2"/>
    <n v="10"/>
    <x v="0"/>
    <s v="Nov"/>
    <x v="1"/>
  </r>
  <r>
    <s v="DE1217"/>
    <x v="2"/>
    <s v="Cutting Disc"/>
    <x v="10"/>
    <d v="2024-11-01T00:00:00"/>
    <n v="3"/>
    <n v="2498"/>
    <n v="7494"/>
    <x v="0"/>
    <x v="2"/>
    <x v="1"/>
    <n v="0"/>
    <x v="1"/>
    <s v="Nov"/>
    <x v="1"/>
  </r>
  <r>
    <s v="DE1218"/>
    <x v="2"/>
    <s v="Safety Net"/>
    <x v="19"/>
    <d v="2024-10-30T00:00:00"/>
    <n v="11"/>
    <n v="3416"/>
    <n v="37576"/>
    <x v="1"/>
    <x v="4"/>
    <x v="1"/>
    <n v="2"/>
    <x v="1"/>
    <s v="Oct"/>
    <x v="1"/>
  </r>
  <r>
    <s v="DE1219"/>
    <x v="2"/>
    <s v="Mounting Plate"/>
    <x v="1"/>
    <d v="2024-10-23T00:00:00"/>
    <n v="15"/>
    <n v="3902"/>
    <n v="58530"/>
    <x v="0"/>
    <x v="1"/>
    <x v="2"/>
    <n v="10"/>
    <x v="1"/>
    <s v="Oct"/>
    <x v="1"/>
  </r>
  <r>
    <s v="DE1220"/>
    <x v="2"/>
    <s v="Safety Net"/>
    <x v="1"/>
    <d v="2024-10-22T00:00:00"/>
    <n v="6"/>
    <n v="4307"/>
    <n v="25842"/>
    <x v="0"/>
    <x v="4"/>
    <x v="2"/>
    <n v="5"/>
    <x v="3"/>
    <s v="Oct"/>
    <x v="1"/>
  </r>
  <r>
    <s v="DE1221"/>
    <x v="2"/>
    <s v="AISI Pipe"/>
    <x v="19"/>
    <d v="2024-10-14T00:00:00"/>
    <n v="13"/>
    <n v="234"/>
    <n v="3042"/>
    <x v="2"/>
    <x v="3"/>
    <x v="1"/>
    <n v="7"/>
    <x v="1"/>
    <s v="Oct"/>
    <x v="1"/>
  </r>
  <r>
    <s v="DE1222"/>
    <x v="2"/>
    <s v="Welding Rod"/>
    <x v="17"/>
    <d v="2024-10-13T00:00:00"/>
    <n v="15"/>
    <n v="485"/>
    <n v="7275"/>
    <x v="2"/>
    <x v="0"/>
    <x v="0"/>
    <n v="5"/>
    <x v="2"/>
    <s v="Oct"/>
    <x v="1"/>
  </r>
  <r>
    <s v="DE1223"/>
    <x v="2"/>
    <s v="Mounting Plate"/>
    <x v="18"/>
    <d v="2024-10-11T00:00:00"/>
    <n v="3"/>
    <n v="1984"/>
    <n v="5952"/>
    <x v="2"/>
    <x v="0"/>
    <x v="0"/>
    <n v="2"/>
    <x v="4"/>
    <s v="Oct"/>
    <x v="1"/>
  </r>
  <r>
    <s v="DE1224"/>
    <x v="2"/>
    <s v="Cutting Disc"/>
    <x v="2"/>
    <d v="2024-10-04T00:00:00"/>
    <n v="14"/>
    <n v="1312"/>
    <n v="18368"/>
    <x v="0"/>
    <x v="0"/>
    <x v="2"/>
    <n v="0"/>
    <x v="4"/>
    <s v="Oct"/>
    <x v="1"/>
  </r>
  <r>
    <s v="DE1225"/>
    <x v="2"/>
    <s v="Mounting Plate"/>
    <x v="18"/>
    <d v="2024-10-03T00:00:00"/>
    <n v="4"/>
    <n v="3362"/>
    <n v="13448"/>
    <x v="0"/>
    <x v="3"/>
    <x v="0"/>
    <n v="7"/>
    <x v="0"/>
    <s v="Oct"/>
    <x v="1"/>
  </r>
  <r>
    <s v="DE1226"/>
    <x v="2"/>
    <s v="Safety Net"/>
    <x v="8"/>
    <d v="2024-10-02T00:00:00"/>
    <n v="1"/>
    <n v="3010"/>
    <n v="3010"/>
    <x v="1"/>
    <x v="0"/>
    <x v="1"/>
    <n v="0"/>
    <x v="4"/>
    <s v="Oct"/>
    <x v="1"/>
  </r>
  <r>
    <s v="DE1227"/>
    <x v="2"/>
    <s v="Mounting Plate"/>
    <x v="4"/>
    <d v="2024-09-30T00:00:00"/>
    <n v="20"/>
    <n v="2746"/>
    <n v="54920"/>
    <x v="0"/>
    <x v="4"/>
    <x v="2"/>
    <n v="2"/>
    <x v="0"/>
    <s v="Sep"/>
    <x v="1"/>
  </r>
  <r>
    <s v="DE1228"/>
    <x v="2"/>
    <s v="AISI Pipe"/>
    <x v="0"/>
    <d v="2024-09-27T00:00:00"/>
    <n v="14"/>
    <n v="2519"/>
    <n v="35266"/>
    <x v="2"/>
    <x v="1"/>
    <x v="0"/>
    <n v="5"/>
    <x v="3"/>
    <s v="Sep"/>
    <x v="1"/>
  </r>
  <r>
    <s v="DE1229"/>
    <x v="2"/>
    <s v="AISI Pipe"/>
    <x v="14"/>
    <d v="2024-09-27T00:00:00"/>
    <n v="8"/>
    <n v="4114"/>
    <n v="32912"/>
    <x v="2"/>
    <x v="6"/>
    <x v="2"/>
    <n v="7"/>
    <x v="1"/>
    <s v="Sep"/>
    <x v="1"/>
  </r>
  <r>
    <s v="DE1230"/>
    <x v="2"/>
    <s v="Cutting Disc"/>
    <x v="0"/>
    <d v="2024-09-21T00:00:00"/>
    <n v="20"/>
    <n v="1929"/>
    <n v="38580"/>
    <x v="1"/>
    <x v="0"/>
    <x v="1"/>
    <n v="5"/>
    <x v="3"/>
    <s v="Sep"/>
    <x v="1"/>
  </r>
  <r>
    <s v="DE1231"/>
    <x v="2"/>
    <s v="Mounting Plate"/>
    <x v="3"/>
    <d v="2024-09-16T00:00:00"/>
    <n v="7"/>
    <n v="1765"/>
    <n v="12355"/>
    <x v="2"/>
    <x v="2"/>
    <x v="0"/>
    <n v="7"/>
    <x v="2"/>
    <s v="Sep"/>
    <x v="1"/>
  </r>
  <r>
    <s v="DE1232"/>
    <x v="2"/>
    <s v="AISI Pipe"/>
    <x v="16"/>
    <d v="2024-08-31T00:00:00"/>
    <n v="17"/>
    <n v="551"/>
    <n v="9367"/>
    <x v="0"/>
    <x v="5"/>
    <x v="0"/>
    <n v="0"/>
    <x v="0"/>
    <s v="Aug"/>
    <x v="1"/>
  </r>
  <r>
    <s v="DE1233"/>
    <x v="2"/>
    <s v="AISI Pipe"/>
    <x v="8"/>
    <d v="2024-08-31T00:00:00"/>
    <n v="4"/>
    <n v="2259"/>
    <n v="9036"/>
    <x v="1"/>
    <x v="6"/>
    <x v="1"/>
    <n v="2"/>
    <x v="0"/>
    <s v="Aug"/>
    <x v="1"/>
  </r>
  <r>
    <s v="DE1234"/>
    <x v="2"/>
    <s v="Welding Rod"/>
    <x v="4"/>
    <d v="2024-08-23T00:00:00"/>
    <n v="20"/>
    <n v="1058"/>
    <n v="21160"/>
    <x v="0"/>
    <x v="3"/>
    <x v="0"/>
    <n v="5"/>
    <x v="3"/>
    <s v="Aug"/>
    <x v="1"/>
  </r>
  <r>
    <s v="DE1235"/>
    <x v="2"/>
    <s v="Safety Net"/>
    <x v="5"/>
    <d v="2024-08-17T00:00:00"/>
    <n v="15"/>
    <n v="4219"/>
    <n v="63285"/>
    <x v="2"/>
    <x v="3"/>
    <x v="0"/>
    <n v="2"/>
    <x v="4"/>
    <s v="Aug"/>
    <x v="1"/>
  </r>
  <r>
    <s v="DE1236"/>
    <x v="2"/>
    <s v="Cutting Disc"/>
    <x v="0"/>
    <d v="2024-08-10T00:00:00"/>
    <n v="18"/>
    <n v="780"/>
    <n v="14040"/>
    <x v="2"/>
    <x v="4"/>
    <x v="2"/>
    <n v="7"/>
    <x v="4"/>
    <s v="Aug"/>
    <x v="1"/>
  </r>
  <r>
    <s v="DE1237"/>
    <x v="2"/>
    <s v="Safety Net"/>
    <x v="19"/>
    <d v="2024-08-07T00:00:00"/>
    <n v="6"/>
    <n v="1764"/>
    <n v="10584"/>
    <x v="0"/>
    <x v="6"/>
    <x v="0"/>
    <n v="10"/>
    <x v="0"/>
    <s v="Aug"/>
    <x v="1"/>
  </r>
  <r>
    <s v="DE1238"/>
    <x v="2"/>
    <s v="Welding Rod"/>
    <x v="4"/>
    <d v="2024-08-07T00:00:00"/>
    <n v="9"/>
    <n v="3362"/>
    <n v="30258"/>
    <x v="2"/>
    <x v="0"/>
    <x v="2"/>
    <n v="2"/>
    <x v="4"/>
    <s v="Aug"/>
    <x v="1"/>
  </r>
  <r>
    <s v="DE1239"/>
    <x v="2"/>
    <s v="AISI Pipe"/>
    <x v="13"/>
    <d v="2024-07-29T00:00:00"/>
    <n v="10"/>
    <n v="486"/>
    <n v="4860"/>
    <x v="2"/>
    <x v="5"/>
    <x v="2"/>
    <n v="7"/>
    <x v="2"/>
    <s v="Jul"/>
    <x v="1"/>
  </r>
  <r>
    <s v="DE1240"/>
    <x v="2"/>
    <s v="Mounting Plate"/>
    <x v="3"/>
    <d v="2024-07-26T00:00:00"/>
    <n v="9"/>
    <n v="1244"/>
    <n v="11196"/>
    <x v="0"/>
    <x v="2"/>
    <x v="2"/>
    <n v="0"/>
    <x v="2"/>
    <s v="Jul"/>
    <x v="1"/>
  </r>
  <r>
    <s v="DE1241"/>
    <x v="2"/>
    <s v="Welding Rod"/>
    <x v="16"/>
    <d v="2024-07-25T00:00:00"/>
    <n v="13"/>
    <n v="4078"/>
    <n v="53014"/>
    <x v="0"/>
    <x v="0"/>
    <x v="1"/>
    <n v="0"/>
    <x v="4"/>
    <s v="Jul"/>
    <x v="1"/>
  </r>
  <r>
    <s v="DE1242"/>
    <x v="2"/>
    <s v="Safety Net"/>
    <x v="13"/>
    <d v="2024-07-25T00:00:00"/>
    <n v="1"/>
    <n v="4402"/>
    <n v="4402"/>
    <x v="1"/>
    <x v="0"/>
    <x v="1"/>
    <n v="0"/>
    <x v="0"/>
    <s v="Jul"/>
    <x v="1"/>
  </r>
  <r>
    <s v="DE1243"/>
    <x v="2"/>
    <s v="AISI Pipe"/>
    <x v="11"/>
    <d v="2024-07-24T00:00:00"/>
    <n v="13"/>
    <n v="2639"/>
    <n v="34307"/>
    <x v="1"/>
    <x v="1"/>
    <x v="0"/>
    <n v="0"/>
    <x v="0"/>
    <s v="Jul"/>
    <x v="1"/>
  </r>
  <r>
    <s v="DE1244"/>
    <x v="2"/>
    <s v="Cutting Disc"/>
    <x v="10"/>
    <d v="2024-07-22T00:00:00"/>
    <n v="15"/>
    <n v="530"/>
    <n v="7950"/>
    <x v="1"/>
    <x v="5"/>
    <x v="0"/>
    <n v="10"/>
    <x v="3"/>
    <s v="Jul"/>
    <x v="1"/>
  </r>
  <r>
    <s v="DE1245"/>
    <x v="2"/>
    <s v="Mounting Plate"/>
    <x v="16"/>
    <d v="2024-07-18T00:00:00"/>
    <n v="1"/>
    <n v="3462"/>
    <n v="3462"/>
    <x v="1"/>
    <x v="5"/>
    <x v="2"/>
    <n v="7"/>
    <x v="3"/>
    <s v="Jul"/>
    <x v="1"/>
  </r>
  <r>
    <s v="DE1246"/>
    <x v="2"/>
    <s v="Welding Rod"/>
    <x v="6"/>
    <d v="2024-07-17T00:00:00"/>
    <n v="16"/>
    <n v="430"/>
    <n v="6880"/>
    <x v="0"/>
    <x v="4"/>
    <x v="2"/>
    <n v="5"/>
    <x v="4"/>
    <s v="Jul"/>
    <x v="1"/>
  </r>
  <r>
    <s v="DE1247"/>
    <x v="2"/>
    <s v="Safety Net"/>
    <x v="7"/>
    <d v="2024-07-12T00:00:00"/>
    <n v="2"/>
    <n v="2825"/>
    <n v="5650"/>
    <x v="2"/>
    <x v="3"/>
    <x v="2"/>
    <n v="5"/>
    <x v="2"/>
    <s v="Jul"/>
    <x v="1"/>
  </r>
  <r>
    <s v="DE1248"/>
    <x v="2"/>
    <s v="Mounting Plate"/>
    <x v="3"/>
    <d v="2024-07-11T00:00:00"/>
    <n v="16"/>
    <n v="3781"/>
    <n v="60496"/>
    <x v="2"/>
    <x v="1"/>
    <x v="1"/>
    <n v="0"/>
    <x v="0"/>
    <s v="Jul"/>
    <x v="1"/>
  </r>
  <r>
    <s v="DE1249"/>
    <x v="2"/>
    <s v="Safety Net"/>
    <x v="11"/>
    <d v="2024-07-09T00:00:00"/>
    <n v="9"/>
    <n v="2033"/>
    <n v="18297"/>
    <x v="0"/>
    <x v="4"/>
    <x v="2"/>
    <n v="0"/>
    <x v="3"/>
    <s v="Jul"/>
    <x v="1"/>
  </r>
  <r>
    <s v="DE1250"/>
    <x v="2"/>
    <s v="Welding Rod"/>
    <x v="19"/>
    <d v="2024-07-06T00:00:00"/>
    <n v="5"/>
    <n v="1801"/>
    <n v="9005"/>
    <x v="0"/>
    <x v="4"/>
    <x v="2"/>
    <n v="0"/>
    <x v="1"/>
    <s v="Jul"/>
    <x v="1"/>
  </r>
  <r>
    <s v="DE1251"/>
    <x v="2"/>
    <s v="Safety Net"/>
    <x v="8"/>
    <d v="2024-06-28T00:00:00"/>
    <n v="4"/>
    <n v="3974"/>
    <n v="15896"/>
    <x v="0"/>
    <x v="1"/>
    <x v="0"/>
    <n v="0"/>
    <x v="3"/>
    <s v="Jun"/>
    <x v="1"/>
  </r>
  <r>
    <s v="DE1252"/>
    <x v="2"/>
    <s v="AISI Pipe"/>
    <x v="10"/>
    <d v="2024-06-26T00:00:00"/>
    <n v="2"/>
    <n v="3896"/>
    <n v="7792"/>
    <x v="2"/>
    <x v="1"/>
    <x v="0"/>
    <n v="2"/>
    <x v="3"/>
    <s v="Jun"/>
    <x v="1"/>
  </r>
  <r>
    <s v="DE1253"/>
    <x v="2"/>
    <s v="Safety Net"/>
    <x v="6"/>
    <d v="2024-06-24T00:00:00"/>
    <n v="4"/>
    <n v="1265"/>
    <n v="5060"/>
    <x v="2"/>
    <x v="6"/>
    <x v="2"/>
    <n v="0"/>
    <x v="3"/>
    <s v="Jun"/>
    <x v="1"/>
  </r>
  <r>
    <s v="DE1254"/>
    <x v="2"/>
    <s v="Safety Net"/>
    <x v="6"/>
    <d v="2024-06-24T00:00:00"/>
    <n v="16"/>
    <n v="3844"/>
    <n v="61504"/>
    <x v="2"/>
    <x v="2"/>
    <x v="1"/>
    <n v="5"/>
    <x v="0"/>
    <s v="Jun"/>
    <x v="1"/>
  </r>
  <r>
    <s v="DE1255"/>
    <x v="2"/>
    <s v="Welding Rod"/>
    <x v="12"/>
    <d v="2024-06-22T00:00:00"/>
    <n v="2"/>
    <n v="1754"/>
    <n v="3508"/>
    <x v="0"/>
    <x v="6"/>
    <x v="1"/>
    <n v="2"/>
    <x v="4"/>
    <s v="Jun"/>
    <x v="1"/>
  </r>
  <r>
    <s v="DE1256"/>
    <x v="2"/>
    <s v="Safety Net"/>
    <x v="12"/>
    <d v="2024-06-21T00:00:00"/>
    <n v="8"/>
    <n v="2117"/>
    <n v="16936"/>
    <x v="1"/>
    <x v="0"/>
    <x v="0"/>
    <n v="5"/>
    <x v="4"/>
    <s v="Jun"/>
    <x v="1"/>
  </r>
  <r>
    <s v="DE1257"/>
    <x v="2"/>
    <s v="Welding Rod"/>
    <x v="7"/>
    <d v="2024-06-20T00:00:00"/>
    <n v="4"/>
    <n v="3253"/>
    <n v="13012"/>
    <x v="1"/>
    <x v="4"/>
    <x v="0"/>
    <n v="0"/>
    <x v="2"/>
    <s v="Jun"/>
    <x v="1"/>
  </r>
  <r>
    <s v="DE1258"/>
    <x v="2"/>
    <s v="Safety Net"/>
    <x v="8"/>
    <d v="2024-06-19T00:00:00"/>
    <n v="13"/>
    <n v="3300"/>
    <n v="42900"/>
    <x v="0"/>
    <x v="2"/>
    <x v="0"/>
    <n v="7"/>
    <x v="1"/>
    <s v="Jun"/>
    <x v="1"/>
  </r>
  <r>
    <s v="DE1259"/>
    <x v="2"/>
    <s v="Cutting Disc"/>
    <x v="10"/>
    <d v="2024-06-14T00:00:00"/>
    <n v="8"/>
    <n v="1049"/>
    <n v="8392"/>
    <x v="0"/>
    <x v="0"/>
    <x v="1"/>
    <n v="0"/>
    <x v="0"/>
    <s v="Jun"/>
    <x v="1"/>
  </r>
  <r>
    <s v="DE1260"/>
    <x v="2"/>
    <s v="Welding Rod"/>
    <x v="8"/>
    <d v="2024-06-07T00:00:00"/>
    <n v="16"/>
    <n v="960"/>
    <n v="15360"/>
    <x v="2"/>
    <x v="6"/>
    <x v="0"/>
    <n v="0"/>
    <x v="4"/>
    <s v="Jun"/>
    <x v="1"/>
  </r>
  <r>
    <s v="DE1261"/>
    <x v="2"/>
    <s v="Cutting Disc"/>
    <x v="5"/>
    <d v="2024-06-05T00:00:00"/>
    <n v="3"/>
    <n v="3861"/>
    <n v="11583"/>
    <x v="2"/>
    <x v="4"/>
    <x v="0"/>
    <n v="7"/>
    <x v="3"/>
    <s v="Jun"/>
    <x v="1"/>
  </r>
  <r>
    <s v="DE1262"/>
    <x v="3"/>
    <s v="Steering Shaft"/>
    <x v="19"/>
    <d v="2025-03-27T00:00:00"/>
    <n v="5"/>
    <n v="2372"/>
    <n v="11860"/>
    <x v="2"/>
    <x v="2"/>
    <x v="1"/>
    <n v="5"/>
    <x v="3"/>
    <s v="Mar"/>
    <x v="0"/>
  </r>
  <r>
    <s v="DE1263"/>
    <x v="3"/>
    <s v="Bearing"/>
    <x v="10"/>
    <d v="2025-03-26T00:00:00"/>
    <n v="20"/>
    <n v="1289"/>
    <n v="25780"/>
    <x v="0"/>
    <x v="1"/>
    <x v="0"/>
    <n v="0"/>
    <x v="3"/>
    <s v="Mar"/>
    <x v="0"/>
  </r>
  <r>
    <s v="DE1264"/>
    <x v="3"/>
    <s v="Universal Joint"/>
    <x v="19"/>
    <d v="2025-03-24T00:00:00"/>
    <n v="7"/>
    <n v="599"/>
    <n v="4193"/>
    <x v="0"/>
    <x v="3"/>
    <x v="2"/>
    <n v="0"/>
    <x v="1"/>
    <s v="Mar"/>
    <x v="0"/>
  </r>
  <r>
    <s v="DE1265"/>
    <x v="3"/>
    <s v="Steering Shaft"/>
    <x v="17"/>
    <d v="2025-03-21T00:00:00"/>
    <n v="15"/>
    <n v="3758"/>
    <n v="56370"/>
    <x v="2"/>
    <x v="3"/>
    <x v="0"/>
    <n v="0"/>
    <x v="4"/>
    <s v="Mar"/>
    <x v="0"/>
  </r>
  <r>
    <s v="DE1266"/>
    <x v="3"/>
    <s v="Steering Shaft"/>
    <x v="19"/>
    <d v="2025-03-20T00:00:00"/>
    <n v="2"/>
    <n v="3338"/>
    <n v="6676"/>
    <x v="2"/>
    <x v="5"/>
    <x v="2"/>
    <n v="0"/>
    <x v="3"/>
    <s v="Mar"/>
    <x v="0"/>
  </r>
  <r>
    <s v="DE1267"/>
    <x v="3"/>
    <s v="Steering Shaft"/>
    <x v="6"/>
    <d v="2025-03-18T00:00:00"/>
    <n v="19"/>
    <n v="3327"/>
    <n v="63213"/>
    <x v="0"/>
    <x v="4"/>
    <x v="1"/>
    <n v="0"/>
    <x v="3"/>
    <s v="Mar"/>
    <x v="0"/>
  </r>
  <r>
    <s v="DE1268"/>
    <x v="3"/>
    <s v="Universal Joint"/>
    <x v="3"/>
    <d v="2025-03-11T00:00:00"/>
    <n v="3"/>
    <n v="2152"/>
    <n v="6456"/>
    <x v="0"/>
    <x v="1"/>
    <x v="0"/>
    <n v="10"/>
    <x v="0"/>
    <s v="Mar"/>
    <x v="0"/>
  </r>
  <r>
    <s v="DE1269"/>
    <x v="3"/>
    <s v="Bearing"/>
    <x v="5"/>
    <d v="2025-03-07T00:00:00"/>
    <n v="18"/>
    <n v="2924"/>
    <n v="52632"/>
    <x v="0"/>
    <x v="2"/>
    <x v="1"/>
    <n v="10"/>
    <x v="1"/>
    <s v="Mar"/>
    <x v="0"/>
  </r>
  <r>
    <s v="DE1270"/>
    <x v="3"/>
    <s v="Bearing"/>
    <x v="13"/>
    <d v="2025-02-26T00:00:00"/>
    <n v="20"/>
    <n v="701"/>
    <n v="14020"/>
    <x v="2"/>
    <x v="6"/>
    <x v="0"/>
    <n v="10"/>
    <x v="0"/>
    <s v="Feb"/>
    <x v="0"/>
  </r>
  <r>
    <s v="DE1271"/>
    <x v="3"/>
    <s v="Universal Joint"/>
    <x v="10"/>
    <d v="2025-02-23T00:00:00"/>
    <n v="1"/>
    <n v="120"/>
    <n v="120"/>
    <x v="2"/>
    <x v="6"/>
    <x v="1"/>
    <n v="0"/>
    <x v="3"/>
    <s v="Feb"/>
    <x v="0"/>
  </r>
  <r>
    <s v="DE1272"/>
    <x v="3"/>
    <s v="Bearing"/>
    <x v="3"/>
    <d v="2025-02-23T00:00:00"/>
    <n v="15"/>
    <n v="4413"/>
    <n v="66195"/>
    <x v="2"/>
    <x v="4"/>
    <x v="0"/>
    <n v="2"/>
    <x v="0"/>
    <s v="Feb"/>
    <x v="0"/>
  </r>
  <r>
    <s v="DE1273"/>
    <x v="3"/>
    <s v="Tie Rod"/>
    <x v="13"/>
    <d v="2025-02-18T00:00:00"/>
    <n v="9"/>
    <n v="3474"/>
    <n v="31266"/>
    <x v="0"/>
    <x v="5"/>
    <x v="0"/>
    <n v="0"/>
    <x v="1"/>
    <s v="Feb"/>
    <x v="0"/>
  </r>
  <r>
    <s v="DE1274"/>
    <x v="3"/>
    <s v="Rack Housing"/>
    <x v="17"/>
    <d v="2025-02-17T00:00:00"/>
    <n v="16"/>
    <n v="864"/>
    <n v="13824"/>
    <x v="1"/>
    <x v="5"/>
    <x v="2"/>
    <n v="5"/>
    <x v="3"/>
    <s v="Feb"/>
    <x v="0"/>
  </r>
  <r>
    <s v="DE1275"/>
    <x v="3"/>
    <s v="Rack Housing"/>
    <x v="5"/>
    <d v="2025-02-16T00:00:00"/>
    <n v="3"/>
    <n v="3588"/>
    <n v="10764"/>
    <x v="2"/>
    <x v="3"/>
    <x v="2"/>
    <n v="0"/>
    <x v="3"/>
    <s v="Feb"/>
    <x v="0"/>
  </r>
  <r>
    <s v="DE1276"/>
    <x v="3"/>
    <s v="Tie Rod"/>
    <x v="10"/>
    <d v="2025-02-14T00:00:00"/>
    <n v="17"/>
    <n v="678"/>
    <n v="11526"/>
    <x v="0"/>
    <x v="0"/>
    <x v="0"/>
    <n v="0"/>
    <x v="2"/>
    <s v="Feb"/>
    <x v="0"/>
  </r>
  <r>
    <s v="DE1277"/>
    <x v="3"/>
    <s v="Bearing"/>
    <x v="8"/>
    <d v="2025-02-13T00:00:00"/>
    <n v="2"/>
    <n v="1154"/>
    <n v="2308"/>
    <x v="1"/>
    <x v="6"/>
    <x v="2"/>
    <n v="5"/>
    <x v="4"/>
    <s v="Feb"/>
    <x v="0"/>
  </r>
  <r>
    <s v="DE1278"/>
    <x v="3"/>
    <s v="Universal Joint"/>
    <x v="0"/>
    <d v="2025-02-08T00:00:00"/>
    <n v="10"/>
    <n v="2318"/>
    <n v="23180"/>
    <x v="1"/>
    <x v="3"/>
    <x v="0"/>
    <n v="2"/>
    <x v="3"/>
    <s v="Feb"/>
    <x v="0"/>
  </r>
  <r>
    <s v="DE1279"/>
    <x v="3"/>
    <s v="Steering Shaft"/>
    <x v="19"/>
    <d v="2025-02-06T00:00:00"/>
    <n v="8"/>
    <n v="3449"/>
    <n v="27592"/>
    <x v="1"/>
    <x v="5"/>
    <x v="0"/>
    <n v="7"/>
    <x v="3"/>
    <s v="Feb"/>
    <x v="0"/>
  </r>
  <r>
    <s v="DE1280"/>
    <x v="3"/>
    <s v="Rack Housing"/>
    <x v="11"/>
    <d v="2025-02-01T00:00:00"/>
    <n v="18"/>
    <n v="1897"/>
    <n v="34146"/>
    <x v="2"/>
    <x v="5"/>
    <x v="2"/>
    <n v="0"/>
    <x v="4"/>
    <s v="Feb"/>
    <x v="0"/>
  </r>
  <r>
    <s v="DE1281"/>
    <x v="3"/>
    <s v="Bearing"/>
    <x v="9"/>
    <d v="2025-01-27T00:00:00"/>
    <n v="5"/>
    <n v="732"/>
    <n v="3660"/>
    <x v="0"/>
    <x v="6"/>
    <x v="0"/>
    <n v="7"/>
    <x v="0"/>
    <s v="Jan"/>
    <x v="0"/>
  </r>
  <r>
    <s v="DE1282"/>
    <x v="3"/>
    <s v="Universal Joint"/>
    <x v="11"/>
    <d v="2025-01-20T00:00:00"/>
    <n v="10"/>
    <n v="2930"/>
    <n v="29300"/>
    <x v="2"/>
    <x v="1"/>
    <x v="0"/>
    <n v="0"/>
    <x v="3"/>
    <s v="Jan"/>
    <x v="0"/>
  </r>
  <r>
    <s v="DE1283"/>
    <x v="3"/>
    <s v="Steering Shaft"/>
    <x v="5"/>
    <d v="2025-01-19T00:00:00"/>
    <n v="13"/>
    <n v="2397"/>
    <n v="31161"/>
    <x v="2"/>
    <x v="4"/>
    <x v="2"/>
    <n v="7"/>
    <x v="4"/>
    <s v="Jan"/>
    <x v="0"/>
  </r>
  <r>
    <s v="DE1284"/>
    <x v="3"/>
    <s v="Universal Joint"/>
    <x v="16"/>
    <d v="2025-01-17T00:00:00"/>
    <n v="16"/>
    <n v="908"/>
    <n v="14528"/>
    <x v="2"/>
    <x v="6"/>
    <x v="1"/>
    <n v="5"/>
    <x v="0"/>
    <s v="Jan"/>
    <x v="0"/>
  </r>
  <r>
    <s v="DE1285"/>
    <x v="3"/>
    <s v="Rack Housing"/>
    <x v="15"/>
    <d v="2025-01-07T00:00:00"/>
    <n v="4"/>
    <n v="2947"/>
    <n v="11788"/>
    <x v="0"/>
    <x v="6"/>
    <x v="1"/>
    <n v="2"/>
    <x v="4"/>
    <s v="Jan"/>
    <x v="0"/>
  </r>
  <r>
    <s v="DE1286"/>
    <x v="3"/>
    <s v="Rack Housing"/>
    <x v="15"/>
    <d v="2025-01-03T00:00:00"/>
    <n v="20"/>
    <n v="4443"/>
    <n v="88860"/>
    <x v="2"/>
    <x v="5"/>
    <x v="0"/>
    <n v="0"/>
    <x v="2"/>
    <s v="Jan"/>
    <x v="0"/>
  </r>
  <r>
    <s v="DE1287"/>
    <x v="3"/>
    <s v="Bearing"/>
    <x v="19"/>
    <d v="2024-12-31T00:00:00"/>
    <n v="2"/>
    <n v="3500"/>
    <n v="7000"/>
    <x v="1"/>
    <x v="1"/>
    <x v="2"/>
    <n v="0"/>
    <x v="0"/>
    <s v="Dec"/>
    <x v="1"/>
  </r>
  <r>
    <s v="DE1288"/>
    <x v="3"/>
    <s v="Rack Housing"/>
    <x v="12"/>
    <d v="2024-12-24T00:00:00"/>
    <n v="8"/>
    <n v="585"/>
    <n v="4680"/>
    <x v="1"/>
    <x v="2"/>
    <x v="2"/>
    <n v="7"/>
    <x v="0"/>
    <s v="Dec"/>
    <x v="1"/>
  </r>
  <r>
    <s v="DE1289"/>
    <x v="3"/>
    <s v="Universal Joint"/>
    <x v="6"/>
    <d v="2024-12-23T00:00:00"/>
    <n v="13"/>
    <n v="1298"/>
    <n v="16874"/>
    <x v="2"/>
    <x v="0"/>
    <x v="2"/>
    <n v="0"/>
    <x v="0"/>
    <s v="Dec"/>
    <x v="1"/>
  </r>
  <r>
    <s v="DE1290"/>
    <x v="3"/>
    <s v="Bearing"/>
    <x v="6"/>
    <d v="2024-12-20T00:00:00"/>
    <n v="10"/>
    <n v="766"/>
    <n v="7660"/>
    <x v="0"/>
    <x v="1"/>
    <x v="1"/>
    <n v="7"/>
    <x v="4"/>
    <s v="Dec"/>
    <x v="1"/>
  </r>
  <r>
    <s v="DE1291"/>
    <x v="3"/>
    <s v="Rack Housing"/>
    <x v="8"/>
    <d v="2024-12-19T00:00:00"/>
    <n v="18"/>
    <n v="340"/>
    <n v="6120"/>
    <x v="0"/>
    <x v="1"/>
    <x v="2"/>
    <n v="7"/>
    <x v="2"/>
    <s v="Dec"/>
    <x v="1"/>
  </r>
  <r>
    <s v="DE1292"/>
    <x v="3"/>
    <s v="Universal Joint"/>
    <x v="5"/>
    <d v="2024-12-19T00:00:00"/>
    <n v="13"/>
    <n v="2416"/>
    <n v="31408"/>
    <x v="0"/>
    <x v="3"/>
    <x v="1"/>
    <n v="5"/>
    <x v="1"/>
    <s v="Dec"/>
    <x v="1"/>
  </r>
  <r>
    <s v="DE1293"/>
    <x v="3"/>
    <s v="Tie Rod"/>
    <x v="8"/>
    <d v="2024-12-12T00:00:00"/>
    <n v="11"/>
    <n v="2004"/>
    <n v="22044"/>
    <x v="1"/>
    <x v="5"/>
    <x v="1"/>
    <n v="7"/>
    <x v="0"/>
    <s v="Dec"/>
    <x v="1"/>
  </r>
  <r>
    <s v="DE1294"/>
    <x v="3"/>
    <s v="Rack Housing"/>
    <x v="17"/>
    <d v="2024-12-10T00:00:00"/>
    <n v="9"/>
    <n v="3513"/>
    <n v="31617"/>
    <x v="0"/>
    <x v="3"/>
    <x v="0"/>
    <n v="5"/>
    <x v="0"/>
    <s v="Dec"/>
    <x v="1"/>
  </r>
  <r>
    <s v="DE1295"/>
    <x v="3"/>
    <s v="Universal Joint"/>
    <x v="19"/>
    <d v="2024-12-08T00:00:00"/>
    <n v="2"/>
    <n v="4056"/>
    <n v="8112"/>
    <x v="0"/>
    <x v="3"/>
    <x v="2"/>
    <n v="0"/>
    <x v="2"/>
    <s v="Dec"/>
    <x v="1"/>
  </r>
  <r>
    <s v="DE1296"/>
    <x v="3"/>
    <s v="Universal Joint"/>
    <x v="16"/>
    <d v="2024-11-29T00:00:00"/>
    <n v="3"/>
    <n v="1940"/>
    <n v="5820"/>
    <x v="2"/>
    <x v="2"/>
    <x v="0"/>
    <n v="0"/>
    <x v="1"/>
    <s v="Nov"/>
    <x v="1"/>
  </r>
  <r>
    <s v="DE1297"/>
    <x v="3"/>
    <s v="Tie Rod"/>
    <x v="2"/>
    <d v="2024-11-28T00:00:00"/>
    <n v="11"/>
    <n v="3498"/>
    <n v="38478"/>
    <x v="1"/>
    <x v="1"/>
    <x v="0"/>
    <n v="0"/>
    <x v="4"/>
    <s v="Nov"/>
    <x v="1"/>
  </r>
  <r>
    <s v="DE1298"/>
    <x v="3"/>
    <s v="Universal Joint"/>
    <x v="12"/>
    <d v="2024-11-25T00:00:00"/>
    <n v="3"/>
    <n v="2069"/>
    <n v="6207"/>
    <x v="0"/>
    <x v="4"/>
    <x v="1"/>
    <n v="7"/>
    <x v="3"/>
    <s v="Nov"/>
    <x v="1"/>
  </r>
  <r>
    <s v="DE1299"/>
    <x v="3"/>
    <s v="Rack Housing"/>
    <x v="7"/>
    <d v="2024-11-24T00:00:00"/>
    <n v="13"/>
    <n v="3010"/>
    <n v="39130"/>
    <x v="2"/>
    <x v="5"/>
    <x v="2"/>
    <n v="5"/>
    <x v="3"/>
    <s v="Nov"/>
    <x v="1"/>
  </r>
  <r>
    <s v="DE1300"/>
    <x v="3"/>
    <s v="Universal Joint"/>
    <x v="11"/>
    <d v="2024-11-23T00:00:00"/>
    <n v="10"/>
    <n v="1845"/>
    <n v="18450"/>
    <x v="0"/>
    <x v="2"/>
    <x v="1"/>
    <n v="2"/>
    <x v="4"/>
    <s v="Nov"/>
    <x v="1"/>
  </r>
  <r>
    <s v="DE1301"/>
    <x v="3"/>
    <s v="Universal Joint"/>
    <x v="18"/>
    <d v="2024-11-19T00:00:00"/>
    <n v="4"/>
    <n v="360"/>
    <n v="1440"/>
    <x v="0"/>
    <x v="6"/>
    <x v="0"/>
    <n v="7"/>
    <x v="3"/>
    <s v="Nov"/>
    <x v="1"/>
  </r>
  <r>
    <s v="DE1302"/>
    <x v="3"/>
    <s v="Universal Joint"/>
    <x v="9"/>
    <d v="2024-11-17T00:00:00"/>
    <n v="12"/>
    <n v="511"/>
    <n v="6132"/>
    <x v="2"/>
    <x v="3"/>
    <x v="0"/>
    <n v="7"/>
    <x v="3"/>
    <s v="Nov"/>
    <x v="1"/>
  </r>
  <r>
    <s v="DE1303"/>
    <x v="3"/>
    <s v="Rack Housing"/>
    <x v="18"/>
    <d v="2024-11-17T00:00:00"/>
    <n v="2"/>
    <n v="3393"/>
    <n v="6786"/>
    <x v="1"/>
    <x v="3"/>
    <x v="0"/>
    <n v="0"/>
    <x v="3"/>
    <s v="Nov"/>
    <x v="1"/>
  </r>
  <r>
    <s v="DE1304"/>
    <x v="3"/>
    <s v="Rack Housing"/>
    <x v="18"/>
    <d v="2024-11-09T00:00:00"/>
    <n v="19"/>
    <n v="3105"/>
    <n v="58995"/>
    <x v="1"/>
    <x v="4"/>
    <x v="2"/>
    <n v="10"/>
    <x v="3"/>
    <s v="Nov"/>
    <x v="1"/>
  </r>
  <r>
    <s v="DE1305"/>
    <x v="3"/>
    <s v="Universal Joint"/>
    <x v="12"/>
    <d v="2024-11-08T00:00:00"/>
    <n v="20"/>
    <n v="1296"/>
    <n v="25920"/>
    <x v="2"/>
    <x v="2"/>
    <x v="2"/>
    <n v="10"/>
    <x v="1"/>
    <s v="Nov"/>
    <x v="1"/>
  </r>
  <r>
    <s v="DE1306"/>
    <x v="3"/>
    <s v="Rack Housing"/>
    <x v="1"/>
    <d v="2024-11-06T00:00:00"/>
    <n v="3"/>
    <n v="658"/>
    <n v="1974"/>
    <x v="0"/>
    <x v="2"/>
    <x v="1"/>
    <n v="2"/>
    <x v="1"/>
    <s v="Nov"/>
    <x v="1"/>
  </r>
  <r>
    <s v="DE1307"/>
    <x v="3"/>
    <s v="Universal Joint"/>
    <x v="7"/>
    <d v="2024-11-02T00:00:00"/>
    <n v="20"/>
    <n v="536"/>
    <n v="10720"/>
    <x v="0"/>
    <x v="5"/>
    <x v="0"/>
    <n v="0"/>
    <x v="1"/>
    <s v="Nov"/>
    <x v="1"/>
  </r>
  <r>
    <s v="DE1308"/>
    <x v="3"/>
    <s v="Universal Joint"/>
    <x v="11"/>
    <d v="2024-10-29T00:00:00"/>
    <n v="11"/>
    <n v="3075"/>
    <n v="33825"/>
    <x v="0"/>
    <x v="5"/>
    <x v="0"/>
    <n v="5"/>
    <x v="4"/>
    <s v="Oct"/>
    <x v="1"/>
  </r>
  <r>
    <s v="DE1309"/>
    <x v="3"/>
    <s v="Tie Rod"/>
    <x v="11"/>
    <d v="2024-10-22T00:00:00"/>
    <n v="3"/>
    <n v="4335"/>
    <n v="13005"/>
    <x v="1"/>
    <x v="4"/>
    <x v="0"/>
    <n v="5"/>
    <x v="2"/>
    <s v="Oct"/>
    <x v="1"/>
  </r>
  <r>
    <s v="DE1310"/>
    <x v="3"/>
    <s v="Tie Rod"/>
    <x v="14"/>
    <d v="2024-10-19T00:00:00"/>
    <n v="10"/>
    <n v="1422"/>
    <n v="14220"/>
    <x v="2"/>
    <x v="2"/>
    <x v="2"/>
    <n v="0"/>
    <x v="4"/>
    <s v="Oct"/>
    <x v="1"/>
  </r>
  <r>
    <s v="DE1311"/>
    <x v="3"/>
    <s v="Rack Housing"/>
    <x v="17"/>
    <d v="2024-10-18T00:00:00"/>
    <n v="2"/>
    <n v="788"/>
    <n v="1576"/>
    <x v="2"/>
    <x v="2"/>
    <x v="1"/>
    <n v="2"/>
    <x v="0"/>
    <s v="Oct"/>
    <x v="1"/>
  </r>
  <r>
    <s v="DE1312"/>
    <x v="3"/>
    <s v="Bearing"/>
    <x v="3"/>
    <d v="2024-10-17T00:00:00"/>
    <n v="6"/>
    <n v="4394"/>
    <n v="26364"/>
    <x v="0"/>
    <x v="5"/>
    <x v="0"/>
    <n v="2"/>
    <x v="0"/>
    <s v="Oct"/>
    <x v="1"/>
  </r>
  <r>
    <s v="DE1313"/>
    <x v="3"/>
    <s v="Tie Rod"/>
    <x v="11"/>
    <d v="2024-10-08T00:00:00"/>
    <n v="6"/>
    <n v="1928"/>
    <n v="11568"/>
    <x v="1"/>
    <x v="3"/>
    <x v="1"/>
    <n v="10"/>
    <x v="1"/>
    <s v="Oct"/>
    <x v="1"/>
  </r>
  <r>
    <s v="DE1314"/>
    <x v="3"/>
    <s v="Steering Shaft"/>
    <x v="17"/>
    <d v="2024-10-03T00:00:00"/>
    <n v="9"/>
    <n v="3812"/>
    <n v="34308"/>
    <x v="0"/>
    <x v="1"/>
    <x v="0"/>
    <n v="0"/>
    <x v="3"/>
    <s v="Oct"/>
    <x v="1"/>
  </r>
  <r>
    <s v="DE1315"/>
    <x v="3"/>
    <s v="Rack Housing"/>
    <x v="7"/>
    <d v="2024-10-03T00:00:00"/>
    <n v="5"/>
    <n v="3992"/>
    <n v="19960"/>
    <x v="2"/>
    <x v="5"/>
    <x v="2"/>
    <n v="0"/>
    <x v="0"/>
    <s v="Oct"/>
    <x v="1"/>
  </r>
  <r>
    <s v="DE1316"/>
    <x v="3"/>
    <s v="Steering Shaft"/>
    <x v="12"/>
    <d v="2024-10-02T00:00:00"/>
    <n v="16"/>
    <n v="2746"/>
    <n v="43936"/>
    <x v="1"/>
    <x v="6"/>
    <x v="2"/>
    <n v="5"/>
    <x v="3"/>
    <s v="Oct"/>
    <x v="1"/>
  </r>
  <r>
    <s v="DE1317"/>
    <x v="3"/>
    <s v="Tie Rod"/>
    <x v="0"/>
    <d v="2024-10-01T00:00:00"/>
    <n v="1"/>
    <n v="1368"/>
    <n v="1368"/>
    <x v="0"/>
    <x v="0"/>
    <x v="1"/>
    <n v="0"/>
    <x v="0"/>
    <s v="Oct"/>
    <x v="1"/>
  </r>
  <r>
    <s v="DE1318"/>
    <x v="3"/>
    <s v="Universal Joint"/>
    <x v="10"/>
    <d v="2024-10-01T00:00:00"/>
    <n v="3"/>
    <n v="1406"/>
    <n v="4218"/>
    <x v="1"/>
    <x v="1"/>
    <x v="2"/>
    <n v="2"/>
    <x v="1"/>
    <s v="Oct"/>
    <x v="1"/>
  </r>
  <r>
    <s v="DE1319"/>
    <x v="3"/>
    <s v="Steering Shaft"/>
    <x v="7"/>
    <d v="2024-09-30T00:00:00"/>
    <n v="7"/>
    <n v="1257"/>
    <n v="8799"/>
    <x v="2"/>
    <x v="3"/>
    <x v="1"/>
    <n v="0"/>
    <x v="1"/>
    <s v="Sep"/>
    <x v="1"/>
  </r>
  <r>
    <s v="DE1320"/>
    <x v="3"/>
    <s v="Steering Shaft"/>
    <x v="17"/>
    <d v="2024-09-29T00:00:00"/>
    <n v="9"/>
    <n v="3262"/>
    <n v="29358"/>
    <x v="2"/>
    <x v="5"/>
    <x v="0"/>
    <n v="5"/>
    <x v="0"/>
    <s v="Sep"/>
    <x v="1"/>
  </r>
  <r>
    <s v="DE1321"/>
    <x v="3"/>
    <s v="Tie Rod"/>
    <x v="18"/>
    <d v="2024-09-28T00:00:00"/>
    <n v="19"/>
    <n v="3257"/>
    <n v="61883"/>
    <x v="2"/>
    <x v="3"/>
    <x v="0"/>
    <n v="7"/>
    <x v="3"/>
    <s v="Sep"/>
    <x v="1"/>
  </r>
  <r>
    <s v="DE1322"/>
    <x v="3"/>
    <s v="Steering Shaft"/>
    <x v="14"/>
    <d v="2024-09-26T00:00:00"/>
    <n v="3"/>
    <n v="602"/>
    <n v="1806"/>
    <x v="2"/>
    <x v="3"/>
    <x v="1"/>
    <n v="0"/>
    <x v="3"/>
    <s v="Sep"/>
    <x v="1"/>
  </r>
  <r>
    <s v="DE1323"/>
    <x v="3"/>
    <s v="Tie Rod"/>
    <x v="6"/>
    <d v="2024-09-21T00:00:00"/>
    <n v="13"/>
    <n v="3219"/>
    <n v="41847"/>
    <x v="2"/>
    <x v="3"/>
    <x v="2"/>
    <n v="5"/>
    <x v="0"/>
    <s v="Sep"/>
    <x v="1"/>
  </r>
  <r>
    <s v="DE1324"/>
    <x v="3"/>
    <s v="Steering Shaft"/>
    <x v="7"/>
    <d v="2024-09-15T00:00:00"/>
    <n v="18"/>
    <n v="4186"/>
    <n v="75348"/>
    <x v="1"/>
    <x v="6"/>
    <x v="2"/>
    <n v="7"/>
    <x v="4"/>
    <s v="Sep"/>
    <x v="1"/>
  </r>
  <r>
    <s v="DE1325"/>
    <x v="3"/>
    <s v="Tie Rod"/>
    <x v="16"/>
    <d v="2024-09-14T00:00:00"/>
    <n v="8"/>
    <n v="2294"/>
    <n v="18352"/>
    <x v="1"/>
    <x v="4"/>
    <x v="0"/>
    <n v="0"/>
    <x v="4"/>
    <s v="Sep"/>
    <x v="1"/>
  </r>
  <r>
    <s v="DE1326"/>
    <x v="3"/>
    <s v="Steering Shaft"/>
    <x v="13"/>
    <d v="2024-09-06T00:00:00"/>
    <n v="19"/>
    <n v="1020"/>
    <n v="19380"/>
    <x v="2"/>
    <x v="0"/>
    <x v="2"/>
    <n v="2"/>
    <x v="3"/>
    <s v="Sep"/>
    <x v="1"/>
  </r>
  <r>
    <s v="DE1327"/>
    <x v="3"/>
    <s v="Rack Housing"/>
    <x v="1"/>
    <d v="2024-09-05T00:00:00"/>
    <n v="20"/>
    <n v="4294"/>
    <n v="85880"/>
    <x v="0"/>
    <x v="6"/>
    <x v="2"/>
    <n v="2"/>
    <x v="4"/>
    <s v="Sep"/>
    <x v="1"/>
  </r>
  <r>
    <s v="DE1328"/>
    <x v="3"/>
    <s v="Bearing"/>
    <x v="12"/>
    <d v="2024-09-04T00:00:00"/>
    <n v="10"/>
    <n v="1269"/>
    <n v="12690"/>
    <x v="2"/>
    <x v="5"/>
    <x v="2"/>
    <n v="10"/>
    <x v="4"/>
    <s v="Sep"/>
    <x v="1"/>
  </r>
  <r>
    <s v="DE1329"/>
    <x v="3"/>
    <s v="Bearing"/>
    <x v="5"/>
    <d v="2024-08-31T00:00:00"/>
    <n v="18"/>
    <n v="4072"/>
    <n v="73296"/>
    <x v="0"/>
    <x v="1"/>
    <x v="0"/>
    <n v="0"/>
    <x v="3"/>
    <s v="Aug"/>
    <x v="1"/>
  </r>
  <r>
    <s v="DE1330"/>
    <x v="3"/>
    <s v="Steering Shaft"/>
    <x v="12"/>
    <d v="2024-08-30T00:00:00"/>
    <n v="16"/>
    <n v="2844"/>
    <n v="45504"/>
    <x v="1"/>
    <x v="2"/>
    <x v="0"/>
    <n v="0"/>
    <x v="2"/>
    <s v="Aug"/>
    <x v="1"/>
  </r>
  <r>
    <s v="DE1331"/>
    <x v="3"/>
    <s v="Rack Housing"/>
    <x v="3"/>
    <d v="2024-08-27T00:00:00"/>
    <n v="19"/>
    <n v="1383"/>
    <n v="26277"/>
    <x v="0"/>
    <x v="2"/>
    <x v="1"/>
    <n v="0"/>
    <x v="4"/>
    <s v="Aug"/>
    <x v="1"/>
  </r>
  <r>
    <s v="DE1332"/>
    <x v="3"/>
    <s v="Universal Joint"/>
    <x v="17"/>
    <d v="2024-08-25T00:00:00"/>
    <n v="3"/>
    <n v="1845"/>
    <n v="5535"/>
    <x v="1"/>
    <x v="3"/>
    <x v="0"/>
    <n v="5"/>
    <x v="4"/>
    <s v="Aug"/>
    <x v="1"/>
  </r>
  <r>
    <s v="DE1333"/>
    <x v="3"/>
    <s v="Steering Shaft"/>
    <x v="15"/>
    <d v="2024-08-22T00:00:00"/>
    <n v="8"/>
    <n v="3778"/>
    <n v="30224"/>
    <x v="0"/>
    <x v="4"/>
    <x v="0"/>
    <n v="10"/>
    <x v="2"/>
    <s v="Aug"/>
    <x v="1"/>
  </r>
  <r>
    <s v="DE1334"/>
    <x v="3"/>
    <s v="Bearing"/>
    <x v="9"/>
    <d v="2024-08-16T00:00:00"/>
    <n v="4"/>
    <n v="1961"/>
    <n v="7844"/>
    <x v="1"/>
    <x v="5"/>
    <x v="2"/>
    <n v="0"/>
    <x v="1"/>
    <s v="Aug"/>
    <x v="1"/>
  </r>
  <r>
    <s v="DE1335"/>
    <x v="3"/>
    <s v="Universal Joint"/>
    <x v="13"/>
    <d v="2024-08-15T00:00:00"/>
    <n v="8"/>
    <n v="1751"/>
    <n v="14008"/>
    <x v="1"/>
    <x v="3"/>
    <x v="1"/>
    <n v="10"/>
    <x v="3"/>
    <s v="Aug"/>
    <x v="1"/>
  </r>
  <r>
    <s v="DE1336"/>
    <x v="3"/>
    <s v="Steering Shaft"/>
    <x v="7"/>
    <d v="2024-08-11T00:00:00"/>
    <n v="10"/>
    <n v="3990"/>
    <n v="39900"/>
    <x v="0"/>
    <x v="0"/>
    <x v="2"/>
    <n v="0"/>
    <x v="2"/>
    <s v="Aug"/>
    <x v="1"/>
  </r>
  <r>
    <s v="DE1337"/>
    <x v="3"/>
    <s v="Steering Shaft"/>
    <x v="2"/>
    <d v="2024-08-08T00:00:00"/>
    <n v="5"/>
    <n v="1439"/>
    <n v="7195"/>
    <x v="0"/>
    <x v="3"/>
    <x v="2"/>
    <n v="0"/>
    <x v="2"/>
    <s v="Aug"/>
    <x v="1"/>
  </r>
  <r>
    <s v="DE1338"/>
    <x v="3"/>
    <s v="Rack Housing"/>
    <x v="16"/>
    <d v="2024-08-05T00:00:00"/>
    <n v="13"/>
    <n v="4452"/>
    <n v="57876"/>
    <x v="1"/>
    <x v="5"/>
    <x v="0"/>
    <n v="2"/>
    <x v="1"/>
    <s v="Aug"/>
    <x v="1"/>
  </r>
  <r>
    <s v="DE1339"/>
    <x v="3"/>
    <s v="Universal Joint"/>
    <x v="6"/>
    <d v="2024-08-02T00:00:00"/>
    <n v="13"/>
    <n v="223"/>
    <n v="2899"/>
    <x v="2"/>
    <x v="0"/>
    <x v="1"/>
    <n v="0"/>
    <x v="3"/>
    <s v="Aug"/>
    <x v="1"/>
  </r>
  <r>
    <s v="DE1340"/>
    <x v="3"/>
    <s v="Steering Shaft"/>
    <x v="2"/>
    <d v="2024-07-31T00:00:00"/>
    <n v="1"/>
    <n v="4400"/>
    <n v="4400"/>
    <x v="2"/>
    <x v="3"/>
    <x v="2"/>
    <n v="7"/>
    <x v="3"/>
    <s v="Jul"/>
    <x v="1"/>
  </r>
  <r>
    <s v="DE1341"/>
    <x v="3"/>
    <s v="Rack Housing"/>
    <x v="1"/>
    <d v="2024-07-24T00:00:00"/>
    <n v="6"/>
    <n v="1171"/>
    <n v="7026"/>
    <x v="0"/>
    <x v="2"/>
    <x v="0"/>
    <n v="5"/>
    <x v="3"/>
    <s v="Jul"/>
    <x v="1"/>
  </r>
  <r>
    <s v="DE1342"/>
    <x v="3"/>
    <s v="Universal Joint"/>
    <x v="1"/>
    <d v="2024-07-23T00:00:00"/>
    <n v="10"/>
    <n v="1176"/>
    <n v="11760"/>
    <x v="0"/>
    <x v="1"/>
    <x v="2"/>
    <n v="0"/>
    <x v="0"/>
    <s v="Jul"/>
    <x v="1"/>
  </r>
  <r>
    <s v="DE1343"/>
    <x v="3"/>
    <s v="Steering Shaft"/>
    <x v="4"/>
    <d v="2024-07-23T00:00:00"/>
    <n v="19"/>
    <n v="2109"/>
    <n v="40071"/>
    <x v="0"/>
    <x v="5"/>
    <x v="2"/>
    <n v="10"/>
    <x v="0"/>
    <s v="Jul"/>
    <x v="1"/>
  </r>
  <r>
    <s v="DE1344"/>
    <x v="3"/>
    <s v="Rack Housing"/>
    <x v="14"/>
    <d v="2024-07-23T00:00:00"/>
    <n v="10"/>
    <n v="2751"/>
    <n v="27510"/>
    <x v="0"/>
    <x v="6"/>
    <x v="0"/>
    <n v="2"/>
    <x v="2"/>
    <s v="Jul"/>
    <x v="1"/>
  </r>
  <r>
    <s v="DE1345"/>
    <x v="3"/>
    <s v="Bearing"/>
    <x v="14"/>
    <d v="2024-07-17T00:00:00"/>
    <n v="1"/>
    <n v="2027"/>
    <n v="2027"/>
    <x v="2"/>
    <x v="3"/>
    <x v="0"/>
    <n v="2"/>
    <x v="3"/>
    <s v="Jul"/>
    <x v="1"/>
  </r>
  <r>
    <s v="DE1346"/>
    <x v="3"/>
    <s v="Tie Rod"/>
    <x v="4"/>
    <d v="2024-07-10T00:00:00"/>
    <n v="5"/>
    <n v="1389"/>
    <n v="6945"/>
    <x v="1"/>
    <x v="5"/>
    <x v="1"/>
    <n v="10"/>
    <x v="0"/>
    <s v="Jul"/>
    <x v="1"/>
  </r>
  <r>
    <s v="DE1347"/>
    <x v="3"/>
    <s v="Tie Rod"/>
    <x v="11"/>
    <d v="2024-07-06T00:00:00"/>
    <n v="4"/>
    <n v="2455"/>
    <n v="9820"/>
    <x v="2"/>
    <x v="6"/>
    <x v="0"/>
    <n v="5"/>
    <x v="1"/>
    <s v="Jul"/>
    <x v="1"/>
  </r>
  <r>
    <s v="DE1348"/>
    <x v="3"/>
    <s v="Tie Rod"/>
    <x v="0"/>
    <d v="2024-07-06T00:00:00"/>
    <n v="19"/>
    <n v="3403"/>
    <n v="64657"/>
    <x v="0"/>
    <x v="2"/>
    <x v="2"/>
    <n v="7"/>
    <x v="3"/>
    <s v="Jul"/>
    <x v="1"/>
  </r>
  <r>
    <s v="DE1349"/>
    <x v="3"/>
    <s v="Rack Housing"/>
    <x v="11"/>
    <d v="2024-07-04T00:00:00"/>
    <n v="18"/>
    <n v="180"/>
    <n v="3240"/>
    <x v="0"/>
    <x v="2"/>
    <x v="1"/>
    <n v="2"/>
    <x v="2"/>
    <s v="Jul"/>
    <x v="1"/>
  </r>
  <r>
    <s v="DE1350"/>
    <x v="3"/>
    <s v="Universal Joint"/>
    <x v="4"/>
    <d v="2024-07-02T00:00:00"/>
    <n v="9"/>
    <n v="1319"/>
    <n v="11871"/>
    <x v="0"/>
    <x v="4"/>
    <x v="0"/>
    <n v="10"/>
    <x v="4"/>
    <s v="Jul"/>
    <x v="1"/>
  </r>
  <r>
    <s v="DE1351"/>
    <x v="3"/>
    <s v="Rack Housing"/>
    <x v="3"/>
    <d v="2024-07-01T00:00:00"/>
    <n v="15"/>
    <n v="3177"/>
    <n v="47655"/>
    <x v="0"/>
    <x v="2"/>
    <x v="0"/>
    <n v="7"/>
    <x v="4"/>
    <s v="Jul"/>
    <x v="1"/>
  </r>
  <r>
    <s v="DE1352"/>
    <x v="3"/>
    <s v="Tie Rod"/>
    <x v="19"/>
    <d v="2024-06-26T00:00:00"/>
    <n v="17"/>
    <n v="3925"/>
    <n v="66725"/>
    <x v="1"/>
    <x v="4"/>
    <x v="2"/>
    <n v="10"/>
    <x v="1"/>
    <s v="Jun"/>
    <x v="1"/>
  </r>
  <r>
    <s v="DE1353"/>
    <x v="3"/>
    <s v="Steering Shaft"/>
    <x v="5"/>
    <d v="2024-06-21T00:00:00"/>
    <n v="10"/>
    <n v="3107"/>
    <n v="31070"/>
    <x v="0"/>
    <x v="4"/>
    <x v="1"/>
    <n v="0"/>
    <x v="1"/>
    <s v="Jun"/>
    <x v="1"/>
  </r>
  <r>
    <s v="DE1354"/>
    <x v="3"/>
    <s v="Tie Rod"/>
    <x v="17"/>
    <d v="2024-06-17T00:00:00"/>
    <n v="2"/>
    <n v="2163"/>
    <n v="4326"/>
    <x v="2"/>
    <x v="3"/>
    <x v="2"/>
    <n v="0"/>
    <x v="3"/>
    <s v="Jun"/>
    <x v="1"/>
  </r>
  <r>
    <s v="DE1355"/>
    <x v="3"/>
    <s v="Rack Housing"/>
    <x v="5"/>
    <d v="2024-06-15T00:00:00"/>
    <n v="11"/>
    <n v="3059"/>
    <n v="33649"/>
    <x v="0"/>
    <x v="1"/>
    <x v="1"/>
    <n v="0"/>
    <x v="1"/>
    <s v="Jun"/>
    <x v="1"/>
  </r>
  <r>
    <s v="DE1356"/>
    <x v="3"/>
    <s v="Universal Joint"/>
    <x v="1"/>
    <d v="2024-06-15T00:00:00"/>
    <n v="14"/>
    <n v="4098"/>
    <n v="57372"/>
    <x v="0"/>
    <x v="6"/>
    <x v="0"/>
    <n v="7"/>
    <x v="3"/>
    <s v="Jun"/>
    <x v="1"/>
  </r>
  <r>
    <s v="DE1357"/>
    <x v="3"/>
    <s v="Bearing"/>
    <x v="12"/>
    <d v="2024-06-08T00:00:00"/>
    <n v="9"/>
    <n v="1645"/>
    <n v="14805"/>
    <x v="2"/>
    <x v="5"/>
    <x v="1"/>
    <n v="10"/>
    <x v="2"/>
    <s v="Jun"/>
    <x v="1"/>
  </r>
  <r>
    <s v="DE1358"/>
    <x v="3"/>
    <s v="Bearing"/>
    <x v="11"/>
    <d v="2024-06-04T00:00:00"/>
    <n v="20"/>
    <n v="568"/>
    <n v="11360"/>
    <x v="1"/>
    <x v="6"/>
    <x v="0"/>
    <n v="0"/>
    <x v="4"/>
    <s v="Jun"/>
    <x v="1"/>
  </r>
  <r>
    <s v="DE1359"/>
    <x v="3"/>
    <s v="Steering Shaft"/>
    <x v="10"/>
    <d v="2024-06-01T00:00:00"/>
    <n v="12"/>
    <n v="2079"/>
    <n v="24948"/>
    <x v="2"/>
    <x v="3"/>
    <x v="0"/>
    <n v="7"/>
    <x v="3"/>
    <s v="Jun"/>
    <x v="1"/>
  </r>
  <r>
    <s v="DE1360"/>
    <x v="4"/>
    <s v="Hub Assembly"/>
    <x v="7"/>
    <d v="2025-03-26T00:00:00"/>
    <n v="8"/>
    <n v="540"/>
    <n v="4320"/>
    <x v="0"/>
    <x v="4"/>
    <x v="1"/>
    <n v="5"/>
    <x v="2"/>
    <s v="Mar"/>
    <x v="0"/>
  </r>
  <r>
    <s v="DE1361"/>
    <x v="4"/>
    <s v="Hub Assembly"/>
    <x v="13"/>
    <d v="2025-03-11T00:00:00"/>
    <n v="17"/>
    <n v="4278"/>
    <n v="72726"/>
    <x v="2"/>
    <x v="0"/>
    <x v="1"/>
    <n v="2"/>
    <x v="0"/>
    <s v="Mar"/>
    <x v="0"/>
  </r>
  <r>
    <s v="DE1362"/>
    <x v="4"/>
    <s v="A-arm"/>
    <x v="10"/>
    <d v="2025-03-09T00:00:00"/>
    <n v="5"/>
    <n v="4013"/>
    <n v="20065"/>
    <x v="0"/>
    <x v="6"/>
    <x v="0"/>
    <n v="0"/>
    <x v="0"/>
    <s v="Mar"/>
    <x v="0"/>
  </r>
  <r>
    <s v="DE1363"/>
    <x v="4"/>
    <s v="Spring"/>
    <x v="6"/>
    <d v="2025-03-05T00:00:00"/>
    <n v="11"/>
    <n v="4117"/>
    <n v="45287"/>
    <x v="1"/>
    <x v="1"/>
    <x v="1"/>
    <n v="7"/>
    <x v="2"/>
    <s v="Mar"/>
    <x v="0"/>
  </r>
  <r>
    <s v="DE1364"/>
    <x v="4"/>
    <s v="Ball Joint"/>
    <x v="2"/>
    <d v="2025-03-04T00:00:00"/>
    <n v="12"/>
    <n v="4065"/>
    <n v="48780"/>
    <x v="1"/>
    <x v="5"/>
    <x v="0"/>
    <n v="0"/>
    <x v="0"/>
    <s v="Mar"/>
    <x v="0"/>
  </r>
  <r>
    <s v="DE1365"/>
    <x v="4"/>
    <s v="Shock Absorber"/>
    <x v="11"/>
    <d v="2025-03-03T00:00:00"/>
    <n v="9"/>
    <n v="1266"/>
    <n v="11394"/>
    <x v="0"/>
    <x v="6"/>
    <x v="2"/>
    <n v="7"/>
    <x v="4"/>
    <s v="Mar"/>
    <x v="0"/>
  </r>
  <r>
    <s v="DE1366"/>
    <x v="4"/>
    <s v="Spring"/>
    <x v="7"/>
    <d v="2025-03-03T00:00:00"/>
    <n v="5"/>
    <n v="3778"/>
    <n v="18890"/>
    <x v="2"/>
    <x v="6"/>
    <x v="1"/>
    <n v="2"/>
    <x v="0"/>
    <s v="Mar"/>
    <x v="0"/>
  </r>
  <r>
    <s v="DE1367"/>
    <x v="4"/>
    <s v="Shock Absorber"/>
    <x v="4"/>
    <d v="2025-02-22T00:00:00"/>
    <n v="13"/>
    <n v="3402"/>
    <n v="44226"/>
    <x v="0"/>
    <x v="2"/>
    <x v="2"/>
    <n v="7"/>
    <x v="3"/>
    <s v="Feb"/>
    <x v="0"/>
  </r>
  <r>
    <s v="DE1368"/>
    <x v="4"/>
    <s v="Shock Absorber"/>
    <x v="17"/>
    <d v="2025-02-21T00:00:00"/>
    <n v="6"/>
    <n v="3974"/>
    <n v="23844"/>
    <x v="1"/>
    <x v="6"/>
    <x v="0"/>
    <n v="7"/>
    <x v="4"/>
    <s v="Feb"/>
    <x v="0"/>
  </r>
  <r>
    <s v="DE1369"/>
    <x v="4"/>
    <s v="Spring"/>
    <x v="14"/>
    <d v="2025-02-17T00:00:00"/>
    <n v="5"/>
    <n v="857"/>
    <n v="4285"/>
    <x v="0"/>
    <x v="2"/>
    <x v="0"/>
    <n v="7"/>
    <x v="3"/>
    <s v="Feb"/>
    <x v="0"/>
  </r>
  <r>
    <s v="DE1370"/>
    <x v="4"/>
    <s v="Spring"/>
    <x v="12"/>
    <d v="2025-02-15T00:00:00"/>
    <n v="12"/>
    <n v="684"/>
    <n v="8208"/>
    <x v="2"/>
    <x v="3"/>
    <x v="2"/>
    <n v="2"/>
    <x v="3"/>
    <s v="Feb"/>
    <x v="0"/>
  </r>
  <r>
    <s v="DE1371"/>
    <x v="4"/>
    <s v="Ball Joint"/>
    <x v="17"/>
    <d v="2025-02-14T00:00:00"/>
    <n v="3"/>
    <n v="3284"/>
    <n v="9852"/>
    <x v="0"/>
    <x v="5"/>
    <x v="1"/>
    <n v="7"/>
    <x v="2"/>
    <s v="Feb"/>
    <x v="0"/>
  </r>
  <r>
    <s v="DE1372"/>
    <x v="4"/>
    <s v="Hub Assembly"/>
    <x v="18"/>
    <d v="2025-02-14T00:00:00"/>
    <n v="11"/>
    <n v="3745"/>
    <n v="41195"/>
    <x v="0"/>
    <x v="5"/>
    <x v="2"/>
    <n v="7"/>
    <x v="3"/>
    <s v="Feb"/>
    <x v="0"/>
  </r>
  <r>
    <s v="DE1373"/>
    <x v="4"/>
    <s v="Spring"/>
    <x v="8"/>
    <d v="2025-02-10T00:00:00"/>
    <n v="20"/>
    <n v="2092"/>
    <n v="41840"/>
    <x v="1"/>
    <x v="4"/>
    <x v="1"/>
    <n v="0"/>
    <x v="0"/>
    <s v="Feb"/>
    <x v="0"/>
  </r>
  <r>
    <s v="DE1374"/>
    <x v="4"/>
    <s v="Spring"/>
    <x v="13"/>
    <d v="2025-02-10T00:00:00"/>
    <n v="16"/>
    <n v="2647"/>
    <n v="42352"/>
    <x v="2"/>
    <x v="3"/>
    <x v="0"/>
    <n v="0"/>
    <x v="1"/>
    <s v="Feb"/>
    <x v="0"/>
  </r>
  <r>
    <s v="DE1375"/>
    <x v="4"/>
    <s v="A-arm"/>
    <x v="9"/>
    <d v="2025-02-03T00:00:00"/>
    <n v="7"/>
    <n v="1892"/>
    <n v="13244"/>
    <x v="0"/>
    <x v="2"/>
    <x v="1"/>
    <n v="0"/>
    <x v="2"/>
    <s v="Feb"/>
    <x v="0"/>
  </r>
  <r>
    <s v="DE1376"/>
    <x v="4"/>
    <s v="Ball Joint"/>
    <x v="10"/>
    <d v="2025-02-01T00:00:00"/>
    <n v="6"/>
    <n v="3926"/>
    <n v="23556"/>
    <x v="1"/>
    <x v="5"/>
    <x v="1"/>
    <n v="10"/>
    <x v="4"/>
    <s v="Feb"/>
    <x v="0"/>
  </r>
  <r>
    <s v="DE1377"/>
    <x v="4"/>
    <s v="Ball Joint"/>
    <x v="4"/>
    <d v="2025-01-26T00:00:00"/>
    <n v="15"/>
    <n v="1138"/>
    <n v="17070"/>
    <x v="2"/>
    <x v="2"/>
    <x v="1"/>
    <n v="5"/>
    <x v="3"/>
    <s v="Jan"/>
    <x v="0"/>
  </r>
  <r>
    <s v="DE1378"/>
    <x v="4"/>
    <s v="Shock Absorber"/>
    <x v="2"/>
    <d v="2025-01-26T00:00:00"/>
    <n v="13"/>
    <n v="3246"/>
    <n v="42198"/>
    <x v="0"/>
    <x v="6"/>
    <x v="1"/>
    <n v="7"/>
    <x v="1"/>
    <s v="Jan"/>
    <x v="0"/>
  </r>
  <r>
    <s v="DE1379"/>
    <x v="4"/>
    <s v="Shock Absorber"/>
    <x v="15"/>
    <d v="2025-01-25T00:00:00"/>
    <n v="11"/>
    <n v="2100"/>
    <n v="23100"/>
    <x v="2"/>
    <x v="6"/>
    <x v="2"/>
    <n v="0"/>
    <x v="0"/>
    <s v="Jan"/>
    <x v="0"/>
  </r>
  <r>
    <s v="DE1380"/>
    <x v="4"/>
    <s v="Spring"/>
    <x v="17"/>
    <d v="2025-01-21T00:00:00"/>
    <n v="8"/>
    <n v="2902"/>
    <n v="23216"/>
    <x v="1"/>
    <x v="1"/>
    <x v="2"/>
    <n v="0"/>
    <x v="3"/>
    <s v="Jan"/>
    <x v="0"/>
  </r>
  <r>
    <s v="DE1381"/>
    <x v="4"/>
    <s v="Shock Absorber"/>
    <x v="5"/>
    <d v="2025-01-17T00:00:00"/>
    <n v="20"/>
    <n v="1376"/>
    <n v="27520"/>
    <x v="2"/>
    <x v="6"/>
    <x v="1"/>
    <n v="0"/>
    <x v="3"/>
    <s v="Jan"/>
    <x v="0"/>
  </r>
  <r>
    <s v="DE1382"/>
    <x v="4"/>
    <s v="A-arm"/>
    <x v="10"/>
    <d v="2025-01-15T00:00:00"/>
    <n v="17"/>
    <n v="1269"/>
    <n v="21573"/>
    <x v="0"/>
    <x v="4"/>
    <x v="1"/>
    <n v="10"/>
    <x v="3"/>
    <s v="Jan"/>
    <x v="0"/>
  </r>
  <r>
    <s v="DE1383"/>
    <x v="4"/>
    <s v="Ball Joint"/>
    <x v="7"/>
    <d v="2025-01-15T00:00:00"/>
    <n v="17"/>
    <n v="4287"/>
    <n v="72879"/>
    <x v="2"/>
    <x v="3"/>
    <x v="2"/>
    <n v="0"/>
    <x v="4"/>
    <s v="Jan"/>
    <x v="0"/>
  </r>
  <r>
    <s v="DE1384"/>
    <x v="4"/>
    <s v="Shock Absorber"/>
    <x v="5"/>
    <d v="2025-01-12T00:00:00"/>
    <n v="20"/>
    <n v="1464"/>
    <n v="29280"/>
    <x v="1"/>
    <x v="2"/>
    <x v="1"/>
    <n v="0"/>
    <x v="1"/>
    <s v="Jan"/>
    <x v="0"/>
  </r>
  <r>
    <s v="DE1385"/>
    <x v="4"/>
    <s v="A-arm"/>
    <x v="6"/>
    <d v="2025-01-11T00:00:00"/>
    <n v="1"/>
    <n v="1289"/>
    <n v="1289"/>
    <x v="1"/>
    <x v="4"/>
    <x v="1"/>
    <n v="0"/>
    <x v="3"/>
    <s v="Jan"/>
    <x v="0"/>
  </r>
  <r>
    <s v="DE1386"/>
    <x v="4"/>
    <s v="Ball Joint"/>
    <x v="16"/>
    <d v="2025-01-10T00:00:00"/>
    <n v="2"/>
    <n v="920"/>
    <n v="1840"/>
    <x v="1"/>
    <x v="5"/>
    <x v="1"/>
    <n v="10"/>
    <x v="0"/>
    <s v="Jan"/>
    <x v="0"/>
  </r>
  <r>
    <s v="DE1387"/>
    <x v="4"/>
    <s v="Ball Joint"/>
    <x v="1"/>
    <d v="2025-01-03T00:00:00"/>
    <n v="17"/>
    <n v="3523"/>
    <n v="59891"/>
    <x v="0"/>
    <x v="3"/>
    <x v="1"/>
    <n v="5"/>
    <x v="0"/>
    <s v="Jan"/>
    <x v="0"/>
  </r>
  <r>
    <s v="DE1388"/>
    <x v="4"/>
    <s v="Shock Absorber"/>
    <x v="5"/>
    <d v="2025-01-02T00:00:00"/>
    <n v="14"/>
    <n v="4396"/>
    <n v="61544"/>
    <x v="1"/>
    <x v="5"/>
    <x v="1"/>
    <n v="2"/>
    <x v="3"/>
    <s v="Jan"/>
    <x v="0"/>
  </r>
  <r>
    <s v="DE1389"/>
    <x v="4"/>
    <s v="A-arm"/>
    <x v="12"/>
    <d v="2024-12-30T00:00:00"/>
    <n v="3"/>
    <n v="2383"/>
    <n v="7149"/>
    <x v="0"/>
    <x v="5"/>
    <x v="2"/>
    <n v="0"/>
    <x v="1"/>
    <s v="Dec"/>
    <x v="1"/>
  </r>
  <r>
    <s v="DE1390"/>
    <x v="4"/>
    <s v="Shock Absorber"/>
    <x v="9"/>
    <d v="2024-12-28T00:00:00"/>
    <n v="10"/>
    <n v="2936"/>
    <n v="29360"/>
    <x v="0"/>
    <x v="0"/>
    <x v="1"/>
    <n v="5"/>
    <x v="4"/>
    <s v="Dec"/>
    <x v="1"/>
  </r>
  <r>
    <s v="DE1391"/>
    <x v="4"/>
    <s v="Ball Joint"/>
    <x v="8"/>
    <d v="2024-12-20T00:00:00"/>
    <n v="3"/>
    <n v="3180"/>
    <n v="9540"/>
    <x v="2"/>
    <x v="3"/>
    <x v="0"/>
    <n v="0"/>
    <x v="3"/>
    <s v="Dec"/>
    <x v="1"/>
  </r>
  <r>
    <s v="DE1392"/>
    <x v="4"/>
    <s v="Shock Absorber"/>
    <x v="10"/>
    <d v="2024-12-19T00:00:00"/>
    <n v="17"/>
    <n v="2964"/>
    <n v="50388"/>
    <x v="1"/>
    <x v="0"/>
    <x v="1"/>
    <n v="2"/>
    <x v="4"/>
    <s v="Dec"/>
    <x v="1"/>
  </r>
  <r>
    <s v="DE1393"/>
    <x v="4"/>
    <s v="Hub Assembly"/>
    <x v="1"/>
    <d v="2024-12-11T00:00:00"/>
    <n v="3"/>
    <n v="2002"/>
    <n v="6006"/>
    <x v="1"/>
    <x v="4"/>
    <x v="2"/>
    <n v="5"/>
    <x v="2"/>
    <s v="Dec"/>
    <x v="1"/>
  </r>
  <r>
    <s v="DE1394"/>
    <x v="4"/>
    <s v="Hub Assembly"/>
    <x v="1"/>
    <d v="2024-12-10T00:00:00"/>
    <n v="19"/>
    <n v="1544"/>
    <n v="29336"/>
    <x v="0"/>
    <x v="6"/>
    <x v="2"/>
    <n v="5"/>
    <x v="3"/>
    <s v="Dec"/>
    <x v="1"/>
  </r>
  <r>
    <s v="DE1395"/>
    <x v="4"/>
    <s v="A-arm"/>
    <x v="6"/>
    <d v="2024-12-04T00:00:00"/>
    <n v="15"/>
    <n v="2912"/>
    <n v="43680"/>
    <x v="1"/>
    <x v="5"/>
    <x v="0"/>
    <n v="5"/>
    <x v="0"/>
    <s v="Dec"/>
    <x v="1"/>
  </r>
  <r>
    <s v="DE1396"/>
    <x v="4"/>
    <s v="Spring"/>
    <x v="5"/>
    <d v="2024-12-03T00:00:00"/>
    <n v="9"/>
    <n v="3764"/>
    <n v="33876"/>
    <x v="2"/>
    <x v="1"/>
    <x v="2"/>
    <n v="0"/>
    <x v="2"/>
    <s v="Dec"/>
    <x v="1"/>
  </r>
  <r>
    <s v="DE1397"/>
    <x v="4"/>
    <s v="Spring"/>
    <x v="19"/>
    <d v="2024-12-02T00:00:00"/>
    <n v="18"/>
    <n v="421"/>
    <n v="7578"/>
    <x v="0"/>
    <x v="1"/>
    <x v="2"/>
    <n v="10"/>
    <x v="0"/>
    <s v="Dec"/>
    <x v="1"/>
  </r>
  <r>
    <s v="DE1398"/>
    <x v="4"/>
    <s v="Hub Assembly"/>
    <x v="19"/>
    <d v="2024-11-28T00:00:00"/>
    <n v="11"/>
    <n v="1065"/>
    <n v="11715"/>
    <x v="0"/>
    <x v="0"/>
    <x v="1"/>
    <n v="7"/>
    <x v="1"/>
    <s v="Nov"/>
    <x v="1"/>
  </r>
  <r>
    <s v="DE1399"/>
    <x v="4"/>
    <s v="A-arm"/>
    <x v="4"/>
    <d v="2024-11-23T00:00:00"/>
    <n v="9"/>
    <n v="3379"/>
    <n v="30411"/>
    <x v="1"/>
    <x v="0"/>
    <x v="0"/>
    <n v="5"/>
    <x v="1"/>
    <s v="Nov"/>
    <x v="1"/>
  </r>
  <r>
    <s v="DE1400"/>
    <x v="4"/>
    <s v="A-arm"/>
    <x v="19"/>
    <d v="2024-11-17T00:00:00"/>
    <n v="18"/>
    <n v="1431"/>
    <n v="25758"/>
    <x v="2"/>
    <x v="0"/>
    <x v="0"/>
    <n v="7"/>
    <x v="2"/>
    <s v="Nov"/>
    <x v="1"/>
  </r>
  <r>
    <s v="DE1401"/>
    <x v="4"/>
    <s v="Shock Absorber"/>
    <x v="15"/>
    <d v="2024-11-16T00:00:00"/>
    <n v="11"/>
    <n v="659"/>
    <n v="7249"/>
    <x v="0"/>
    <x v="1"/>
    <x v="0"/>
    <n v="0"/>
    <x v="0"/>
    <s v="Nov"/>
    <x v="1"/>
  </r>
  <r>
    <s v="DE1402"/>
    <x v="4"/>
    <s v="Spring"/>
    <x v="14"/>
    <d v="2024-11-15T00:00:00"/>
    <n v="14"/>
    <n v="4341"/>
    <n v="60774"/>
    <x v="0"/>
    <x v="0"/>
    <x v="2"/>
    <n v="0"/>
    <x v="0"/>
    <s v="Nov"/>
    <x v="1"/>
  </r>
  <r>
    <s v="DE1403"/>
    <x v="4"/>
    <s v="Hub Assembly"/>
    <x v="0"/>
    <d v="2024-11-09T00:00:00"/>
    <n v="15"/>
    <n v="2767"/>
    <n v="41505"/>
    <x v="1"/>
    <x v="0"/>
    <x v="0"/>
    <n v="7"/>
    <x v="0"/>
    <s v="Nov"/>
    <x v="1"/>
  </r>
  <r>
    <s v="DE1404"/>
    <x v="4"/>
    <s v="Shock Absorber"/>
    <x v="13"/>
    <d v="2024-11-05T00:00:00"/>
    <n v="18"/>
    <n v="3907"/>
    <n v="70326"/>
    <x v="2"/>
    <x v="0"/>
    <x v="1"/>
    <n v="0"/>
    <x v="4"/>
    <s v="Nov"/>
    <x v="1"/>
  </r>
  <r>
    <s v="DE1405"/>
    <x v="4"/>
    <s v="Hub Assembly"/>
    <x v="11"/>
    <d v="2024-11-04T00:00:00"/>
    <n v="13"/>
    <n v="817"/>
    <n v="10621"/>
    <x v="0"/>
    <x v="2"/>
    <x v="0"/>
    <n v="0"/>
    <x v="1"/>
    <s v="Nov"/>
    <x v="1"/>
  </r>
  <r>
    <s v="DE1406"/>
    <x v="4"/>
    <s v="Ball Joint"/>
    <x v="4"/>
    <d v="2024-11-03T00:00:00"/>
    <n v="13"/>
    <n v="123"/>
    <n v="1599"/>
    <x v="2"/>
    <x v="4"/>
    <x v="1"/>
    <n v="7"/>
    <x v="3"/>
    <s v="Nov"/>
    <x v="1"/>
  </r>
  <r>
    <s v="DE1407"/>
    <x v="4"/>
    <s v="Ball Joint"/>
    <x v="8"/>
    <d v="2024-11-01T00:00:00"/>
    <n v="6"/>
    <n v="3339"/>
    <n v="20034"/>
    <x v="0"/>
    <x v="6"/>
    <x v="1"/>
    <n v="2"/>
    <x v="3"/>
    <s v="Nov"/>
    <x v="1"/>
  </r>
  <r>
    <s v="DE1408"/>
    <x v="4"/>
    <s v="Hub Assembly"/>
    <x v="17"/>
    <d v="2024-10-29T00:00:00"/>
    <n v="7"/>
    <n v="1705"/>
    <n v="11935"/>
    <x v="0"/>
    <x v="4"/>
    <x v="2"/>
    <n v="0"/>
    <x v="3"/>
    <s v="Oct"/>
    <x v="1"/>
  </r>
  <r>
    <s v="DE1409"/>
    <x v="4"/>
    <s v="Spring"/>
    <x v="14"/>
    <d v="2024-10-24T00:00:00"/>
    <n v="20"/>
    <n v="272"/>
    <n v="5440"/>
    <x v="2"/>
    <x v="4"/>
    <x v="0"/>
    <n v="10"/>
    <x v="2"/>
    <s v="Oct"/>
    <x v="1"/>
  </r>
  <r>
    <s v="DE1410"/>
    <x v="4"/>
    <s v="Ball Joint"/>
    <x v="4"/>
    <d v="2024-10-17T00:00:00"/>
    <n v="12"/>
    <n v="3837"/>
    <n v="46044"/>
    <x v="1"/>
    <x v="6"/>
    <x v="1"/>
    <n v="0"/>
    <x v="4"/>
    <s v="Oct"/>
    <x v="1"/>
  </r>
  <r>
    <s v="DE1411"/>
    <x v="4"/>
    <s v="Hub Assembly"/>
    <x v="13"/>
    <d v="2024-10-15T00:00:00"/>
    <n v="18"/>
    <n v="335"/>
    <n v="6030"/>
    <x v="2"/>
    <x v="4"/>
    <x v="0"/>
    <n v="0"/>
    <x v="4"/>
    <s v="Oct"/>
    <x v="1"/>
  </r>
  <r>
    <s v="DE1412"/>
    <x v="4"/>
    <s v="Ball Joint"/>
    <x v="14"/>
    <d v="2024-10-11T00:00:00"/>
    <n v="12"/>
    <n v="1459"/>
    <n v="17508"/>
    <x v="1"/>
    <x v="6"/>
    <x v="2"/>
    <n v="0"/>
    <x v="2"/>
    <s v="Oct"/>
    <x v="1"/>
  </r>
  <r>
    <s v="DE1413"/>
    <x v="4"/>
    <s v="Ball Joint"/>
    <x v="0"/>
    <d v="2024-10-07T00:00:00"/>
    <n v="16"/>
    <n v="2577"/>
    <n v="41232"/>
    <x v="0"/>
    <x v="5"/>
    <x v="0"/>
    <n v="0"/>
    <x v="4"/>
    <s v="Oct"/>
    <x v="1"/>
  </r>
  <r>
    <s v="DE1414"/>
    <x v="4"/>
    <s v="A-arm"/>
    <x v="4"/>
    <d v="2024-10-05T00:00:00"/>
    <n v="14"/>
    <n v="958"/>
    <n v="13412"/>
    <x v="1"/>
    <x v="5"/>
    <x v="0"/>
    <n v="0"/>
    <x v="3"/>
    <s v="Oct"/>
    <x v="1"/>
  </r>
  <r>
    <s v="DE1415"/>
    <x v="4"/>
    <s v="Spring"/>
    <x v="3"/>
    <d v="2024-10-05T00:00:00"/>
    <n v="18"/>
    <n v="1909"/>
    <n v="34362"/>
    <x v="1"/>
    <x v="5"/>
    <x v="0"/>
    <n v="5"/>
    <x v="4"/>
    <s v="Oct"/>
    <x v="1"/>
  </r>
  <r>
    <s v="DE1416"/>
    <x v="4"/>
    <s v="Spring"/>
    <x v="5"/>
    <d v="2024-10-02T00:00:00"/>
    <n v="4"/>
    <n v="370"/>
    <n v="1480"/>
    <x v="0"/>
    <x v="0"/>
    <x v="2"/>
    <n v="10"/>
    <x v="1"/>
    <s v="Oct"/>
    <x v="1"/>
  </r>
  <r>
    <s v="DE1417"/>
    <x v="4"/>
    <s v="Hub Assembly"/>
    <x v="2"/>
    <d v="2024-09-30T00:00:00"/>
    <n v="8"/>
    <n v="3305"/>
    <n v="26440"/>
    <x v="0"/>
    <x v="5"/>
    <x v="1"/>
    <n v="7"/>
    <x v="3"/>
    <s v="Sep"/>
    <x v="1"/>
  </r>
  <r>
    <s v="DE1418"/>
    <x v="4"/>
    <s v="Shock Absorber"/>
    <x v="6"/>
    <d v="2024-09-17T00:00:00"/>
    <n v="19"/>
    <n v="3438"/>
    <n v="65322"/>
    <x v="2"/>
    <x v="1"/>
    <x v="1"/>
    <n v="2"/>
    <x v="0"/>
    <s v="Sep"/>
    <x v="1"/>
  </r>
  <r>
    <s v="DE1419"/>
    <x v="4"/>
    <s v="Shock Absorber"/>
    <x v="8"/>
    <d v="2024-09-12T00:00:00"/>
    <n v="2"/>
    <n v="4260"/>
    <n v="8520"/>
    <x v="1"/>
    <x v="1"/>
    <x v="0"/>
    <n v="10"/>
    <x v="4"/>
    <s v="Sep"/>
    <x v="1"/>
  </r>
  <r>
    <s v="DE1420"/>
    <x v="4"/>
    <s v="Ball Joint"/>
    <x v="19"/>
    <d v="2024-09-09T00:00:00"/>
    <n v="3"/>
    <n v="2172"/>
    <n v="6516"/>
    <x v="1"/>
    <x v="6"/>
    <x v="0"/>
    <n v="5"/>
    <x v="1"/>
    <s v="Sep"/>
    <x v="1"/>
  </r>
  <r>
    <s v="DE1421"/>
    <x v="4"/>
    <s v="Spring"/>
    <x v="9"/>
    <d v="2024-09-02T00:00:00"/>
    <n v="5"/>
    <n v="3576"/>
    <n v="17880"/>
    <x v="1"/>
    <x v="0"/>
    <x v="0"/>
    <n v="10"/>
    <x v="4"/>
    <s v="Sep"/>
    <x v="1"/>
  </r>
  <r>
    <s v="DE1422"/>
    <x v="4"/>
    <s v="A-arm"/>
    <x v="1"/>
    <d v="2024-08-30T00:00:00"/>
    <n v="16"/>
    <n v="2693"/>
    <n v="43088"/>
    <x v="2"/>
    <x v="6"/>
    <x v="1"/>
    <n v="7"/>
    <x v="1"/>
    <s v="Aug"/>
    <x v="1"/>
  </r>
  <r>
    <s v="DE1423"/>
    <x v="4"/>
    <s v="Shock Absorber"/>
    <x v="18"/>
    <d v="2024-08-25T00:00:00"/>
    <n v="3"/>
    <n v="2056"/>
    <n v="6168"/>
    <x v="2"/>
    <x v="0"/>
    <x v="0"/>
    <n v="0"/>
    <x v="3"/>
    <s v="Aug"/>
    <x v="1"/>
  </r>
  <r>
    <s v="DE1424"/>
    <x v="4"/>
    <s v="A-arm"/>
    <x v="17"/>
    <d v="2024-08-23T00:00:00"/>
    <n v="18"/>
    <n v="2125"/>
    <n v="38250"/>
    <x v="2"/>
    <x v="0"/>
    <x v="1"/>
    <n v="5"/>
    <x v="0"/>
    <s v="Aug"/>
    <x v="1"/>
  </r>
  <r>
    <s v="DE1425"/>
    <x v="4"/>
    <s v="Ball Joint"/>
    <x v="14"/>
    <d v="2024-08-21T00:00:00"/>
    <n v="2"/>
    <n v="4341"/>
    <n v="8682"/>
    <x v="0"/>
    <x v="6"/>
    <x v="0"/>
    <n v="0"/>
    <x v="2"/>
    <s v="Aug"/>
    <x v="1"/>
  </r>
  <r>
    <s v="DE1426"/>
    <x v="4"/>
    <s v="A-arm"/>
    <x v="10"/>
    <d v="2024-08-18T00:00:00"/>
    <n v="20"/>
    <n v="3206"/>
    <n v="64120"/>
    <x v="0"/>
    <x v="4"/>
    <x v="2"/>
    <n v="7"/>
    <x v="4"/>
    <s v="Aug"/>
    <x v="1"/>
  </r>
  <r>
    <s v="DE1427"/>
    <x v="4"/>
    <s v="Ball Joint"/>
    <x v="0"/>
    <d v="2024-08-17T00:00:00"/>
    <n v="14"/>
    <n v="562"/>
    <n v="7868"/>
    <x v="2"/>
    <x v="4"/>
    <x v="1"/>
    <n v="2"/>
    <x v="0"/>
    <s v="Aug"/>
    <x v="1"/>
  </r>
  <r>
    <s v="DE1428"/>
    <x v="4"/>
    <s v="Spring"/>
    <x v="0"/>
    <d v="2024-08-14T00:00:00"/>
    <n v="13"/>
    <n v="1726"/>
    <n v="22438"/>
    <x v="1"/>
    <x v="0"/>
    <x v="0"/>
    <n v="2"/>
    <x v="1"/>
    <s v="Aug"/>
    <x v="1"/>
  </r>
  <r>
    <s v="DE1429"/>
    <x v="4"/>
    <s v="Hub Assembly"/>
    <x v="2"/>
    <d v="2024-08-10T00:00:00"/>
    <n v="16"/>
    <n v="630"/>
    <n v="10080"/>
    <x v="0"/>
    <x v="4"/>
    <x v="1"/>
    <n v="2"/>
    <x v="0"/>
    <s v="Aug"/>
    <x v="1"/>
  </r>
  <r>
    <s v="DE1430"/>
    <x v="4"/>
    <s v="A-arm"/>
    <x v="5"/>
    <d v="2024-08-07T00:00:00"/>
    <n v="17"/>
    <n v="2292"/>
    <n v="38964"/>
    <x v="1"/>
    <x v="3"/>
    <x v="0"/>
    <n v="0"/>
    <x v="1"/>
    <s v="Aug"/>
    <x v="1"/>
  </r>
  <r>
    <s v="DE1431"/>
    <x v="4"/>
    <s v="A-arm"/>
    <x v="3"/>
    <d v="2024-08-06T00:00:00"/>
    <n v="16"/>
    <n v="841"/>
    <n v="13456"/>
    <x v="0"/>
    <x v="0"/>
    <x v="0"/>
    <n v="2"/>
    <x v="3"/>
    <s v="Aug"/>
    <x v="1"/>
  </r>
  <r>
    <s v="DE1432"/>
    <x v="4"/>
    <s v="Ball Joint"/>
    <x v="19"/>
    <d v="2024-07-31T00:00:00"/>
    <n v="3"/>
    <n v="2153"/>
    <n v="6459"/>
    <x v="2"/>
    <x v="5"/>
    <x v="1"/>
    <n v="10"/>
    <x v="1"/>
    <s v="Jul"/>
    <x v="1"/>
  </r>
  <r>
    <s v="DE1433"/>
    <x v="4"/>
    <s v="Shock Absorber"/>
    <x v="16"/>
    <d v="2024-07-31T00:00:00"/>
    <n v="5"/>
    <n v="2685"/>
    <n v="13425"/>
    <x v="1"/>
    <x v="6"/>
    <x v="0"/>
    <n v="7"/>
    <x v="1"/>
    <s v="Jul"/>
    <x v="1"/>
  </r>
  <r>
    <s v="DE1434"/>
    <x v="4"/>
    <s v="Hub Assembly"/>
    <x v="19"/>
    <d v="2024-07-29T00:00:00"/>
    <n v="14"/>
    <n v="932"/>
    <n v="13048"/>
    <x v="1"/>
    <x v="2"/>
    <x v="0"/>
    <n v="0"/>
    <x v="0"/>
    <s v="Jul"/>
    <x v="1"/>
  </r>
  <r>
    <s v="DE1435"/>
    <x v="4"/>
    <s v="Spring"/>
    <x v="8"/>
    <d v="2024-07-28T00:00:00"/>
    <n v="18"/>
    <n v="4304"/>
    <n v="77472"/>
    <x v="2"/>
    <x v="3"/>
    <x v="0"/>
    <n v="5"/>
    <x v="3"/>
    <s v="Jul"/>
    <x v="1"/>
  </r>
  <r>
    <s v="DE1436"/>
    <x v="4"/>
    <s v="Ball Joint"/>
    <x v="1"/>
    <d v="2024-07-15T00:00:00"/>
    <n v="11"/>
    <n v="668"/>
    <n v="7348"/>
    <x v="2"/>
    <x v="1"/>
    <x v="0"/>
    <n v="10"/>
    <x v="1"/>
    <s v="Jul"/>
    <x v="1"/>
  </r>
  <r>
    <s v="DE1437"/>
    <x v="4"/>
    <s v="Ball Joint"/>
    <x v="9"/>
    <d v="2024-07-13T00:00:00"/>
    <n v="8"/>
    <n v="722"/>
    <n v="5776"/>
    <x v="2"/>
    <x v="4"/>
    <x v="1"/>
    <n v="0"/>
    <x v="0"/>
    <s v="Jul"/>
    <x v="1"/>
  </r>
  <r>
    <s v="DE1438"/>
    <x v="4"/>
    <s v="Ball Joint"/>
    <x v="5"/>
    <d v="2024-07-12T00:00:00"/>
    <n v="8"/>
    <n v="3283"/>
    <n v="26264"/>
    <x v="1"/>
    <x v="4"/>
    <x v="2"/>
    <n v="10"/>
    <x v="2"/>
    <s v="Jul"/>
    <x v="1"/>
  </r>
  <r>
    <s v="DE1439"/>
    <x v="4"/>
    <s v="A-arm"/>
    <x v="10"/>
    <d v="2024-07-12T00:00:00"/>
    <n v="2"/>
    <n v="4280"/>
    <n v="8560"/>
    <x v="0"/>
    <x v="3"/>
    <x v="1"/>
    <n v="10"/>
    <x v="3"/>
    <s v="Jul"/>
    <x v="1"/>
  </r>
  <r>
    <s v="DE1440"/>
    <x v="4"/>
    <s v="Shock Absorber"/>
    <x v="4"/>
    <d v="2024-07-08T00:00:00"/>
    <n v="12"/>
    <n v="4276"/>
    <n v="51312"/>
    <x v="2"/>
    <x v="0"/>
    <x v="2"/>
    <n v="0"/>
    <x v="4"/>
    <s v="Jul"/>
    <x v="1"/>
  </r>
  <r>
    <s v="DE1441"/>
    <x v="4"/>
    <s v="A-arm"/>
    <x v="14"/>
    <d v="2024-07-06T00:00:00"/>
    <n v="17"/>
    <n v="245"/>
    <n v="4165"/>
    <x v="2"/>
    <x v="1"/>
    <x v="1"/>
    <n v="5"/>
    <x v="0"/>
    <s v="Jul"/>
    <x v="1"/>
  </r>
  <r>
    <s v="DE1442"/>
    <x v="4"/>
    <s v="Ball Joint"/>
    <x v="10"/>
    <d v="2024-07-06T00:00:00"/>
    <n v="14"/>
    <n v="1660"/>
    <n v="23240"/>
    <x v="2"/>
    <x v="4"/>
    <x v="1"/>
    <n v="2"/>
    <x v="0"/>
    <s v="Jul"/>
    <x v="1"/>
  </r>
  <r>
    <s v="DE1443"/>
    <x v="4"/>
    <s v="A-arm"/>
    <x v="12"/>
    <d v="2024-07-06T00:00:00"/>
    <n v="12"/>
    <n v="3653"/>
    <n v="43836"/>
    <x v="2"/>
    <x v="1"/>
    <x v="2"/>
    <n v="7"/>
    <x v="1"/>
    <s v="Jul"/>
    <x v="1"/>
  </r>
  <r>
    <s v="DE1444"/>
    <x v="4"/>
    <s v="Spring"/>
    <x v="17"/>
    <d v="2024-07-02T00:00:00"/>
    <n v="17"/>
    <n v="1355"/>
    <n v="23035"/>
    <x v="2"/>
    <x v="3"/>
    <x v="2"/>
    <n v="5"/>
    <x v="4"/>
    <s v="Jul"/>
    <x v="1"/>
  </r>
  <r>
    <s v="DE1445"/>
    <x v="4"/>
    <s v="Shock Absorber"/>
    <x v="19"/>
    <d v="2024-06-20T00:00:00"/>
    <n v="6"/>
    <n v="4018"/>
    <n v="24108"/>
    <x v="1"/>
    <x v="1"/>
    <x v="0"/>
    <n v="7"/>
    <x v="1"/>
    <s v="Jun"/>
    <x v="1"/>
  </r>
  <r>
    <s v="DE1446"/>
    <x v="4"/>
    <s v="Spring"/>
    <x v="17"/>
    <d v="2024-06-13T00:00:00"/>
    <n v="3"/>
    <n v="1379"/>
    <n v="4137"/>
    <x v="2"/>
    <x v="2"/>
    <x v="2"/>
    <n v="0"/>
    <x v="2"/>
    <s v="Jun"/>
    <x v="1"/>
  </r>
  <r>
    <s v="DE1447"/>
    <x v="4"/>
    <s v="Spring"/>
    <x v="13"/>
    <d v="2024-06-10T00:00:00"/>
    <n v="7"/>
    <n v="2746"/>
    <n v="19222"/>
    <x v="0"/>
    <x v="3"/>
    <x v="2"/>
    <n v="0"/>
    <x v="0"/>
    <s v="Jun"/>
    <x v="1"/>
  </r>
  <r>
    <s v="DE1448"/>
    <x v="4"/>
    <s v="A-arm"/>
    <x v="8"/>
    <d v="2024-06-09T00:00:00"/>
    <n v="16"/>
    <n v="717"/>
    <n v="11472"/>
    <x v="1"/>
    <x v="3"/>
    <x v="2"/>
    <n v="0"/>
    <x v="3"/>
    <s v="Jun"/>
    <x v="1"/>
  </r>
  <r>
    <s v="DE1449"/>
    <x v="4"/>
    <s v="Hub Assembly"/>
    <x v="2"/>
    <d v="2024-06-04T00:00:00"/>
    <n v="13"/>
    <n v="958"/>
    <n v="12454"/>
    <x v="2"/>
    <x v="2"/>
    <x v="1"/>
    <n v="5"/>
    <x v="0"/>
    <s v="Jun"/>
    <x v="1"/>
  </r>
  <r>
    <s v="DE1450"/>
    <x v="4"/>
    <s v="Hub Assembly"/>
    <x v="2"/>
    <d v="2024-06-03T00:00:00"/>
    <n v="5"/>
    <n v="4206"/>
    <n v="21030"/>
    <x v="1"/>
    <x v="2"/>
    <x v="0"/>
    <n v="10"/>
    <x v="1"/>
    <s v="Jun"/>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7C6AAA-CD0D-44FC-AB6C-02BB8AB5ECC6}"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7:O23" firstHeaderRow="1" firstDataRow="1" firstDataCol="1"/>
  <pivotFields count="15">
    <pivotField showAll="0"/>
    <pivotField axis="axisRow" showAll="0">
      <items count="6">
        <item x="0"/>
        <item x="1"/>
        <item x="2"/>
        <item x="3"/>
        <item x="4"/>
        <item t="default"/>
      </items>
    </pivotField>
    <pivotField showAll="0"/>
    <pivotField showAll="0"/>
    <pivotField numFmtId="14" showAll="0"/>
    <pivotField showAll="0"/>
    <pivotField numFmtId="164" showAll="0"/>
    <pivotField dataField="1" numFmtId="164" showAll="0"/>
    <pivotField showAll="0"/>
    <pivotField showAll="0"/>
    <pivotField showAll="0"/>
    <pivotField showAll="0"/>
    <pivotField showAll="0"/>
    <pivotField showAll="0"/>
    <pivotField axis="axisRow" showAll="0">
      <items count="3">
        <item x="1"/>
        <item x="0"/>
        <item t="default"/>
      </items>
    </pivotField>
  </pivotFields>
  <rowFields count="2">
    <field x="1"/>
    <field x="14"/>
  </rowFields>
  <rowItems count="16">
    <i>
      <x/>
    </i>
    <i r="1">
      <x/>
    </i>
    <i r="1">
      <x v="1"/>
    </i>
    <i>
      <x v="1"/>
    </i>
    <i r="1">
      <x/>
    </i>
    <i r="1">
      <x v="1"/>
    </i>
    <i>
      <x v="2"/>
    </i>
    <i r="1">
      <x/>
    </i>
    <i r="1">
      <x v="1"/>
    </i>
    <i>
      <x v="3"/>
    </i>
    <i r="1">
      <x/>
    </i>
    <i r="1">
      <x v="1"/>
    </i>
    <i>
      <x v="4"/>
    </i>
    <i r="1">
      <x/>
    </i>
    <i r="1">
      <x v="1"/>
    </i>
    <i t="grand">
      <x/>
    </i>
  </rowItems>
  <colItems count="1">
    <i/>
  </colItems>
  <dataFields count="1">
    <dataField name="Sum of Total_Amount" fld="7" baseField="0" baseItem="0" numFmtId="164"/>
  </dataFields>
  <formats count="14">
    <format dxfId="65">
      <pivotArea field="1" type="button" dataOnly="0" labelOnly="1" outline="0" axis="axisRow" fieldPosition="0"/>
    </format>
    <format dxfId="64">
      <pivotArea dataOnly="0" labelOnly="1" outline="0" axis="axisValues" fieldPosition="0"/>
    </format>
    <format dxfId="63">
      <pivotArea dataOnly="0" grandRow="1" axis="axisRow" fieldPosition="0"/>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0"/>
        </references>
      </pivotArea>
    </format>
    <format dxfId="58">
      <pivotArea dataOnly="0" labelOnly="1" grandRow="1" outline="0" fieldPosition="0"/>
    </format>
    <format dxfId="57">
      <pivotArea dataOnly="0" labelOnly="1" fieldPosition="0">
        <references count="2">
          <reference field="1" count="1" selected="0">
            <x v="0"/>
          </reference>
          <reference field="14" count="0"/>
        </references>
      </pivotArea>
    </format>
    <format dxfId="56">
      <pivotArea dataOnly="0" labelOnly="1" fieldPosition="0">
        <references count="2">
          <reference field="1" count="1" selected="0">
            <x v="1"/>
          </reference>
          <reference field="14" count="0"/>
        </references>
      </pivotArea>
    </format>
    <format dxfId="55">
      <pivotArea dataOnly="0" labelOnly="1" fieldPosition="0">
        <references count="2">
          <reference field="1" count="1" selected="0">
            <x v="2"/>
          </reference>
          <reference field="14" count="0"/>
        </references>
      </pivotArea>
    </format>
    <format dxfId="54">
      <pivotArea dataOnly="0" labelOnly="1" fieldPosition="0">
        <references count="2">
          <reference field="1" count="1" selected="0">
            <x v="3"/>
          </reference>
          <reference field="14" count="0"/>
        </references>
      </pivotArea>
    </format>
    <format dxfId="53">
      <pivotArea dataOnly="0" labelOnly="1" fieldPosition="0">
        <references count="2">
          <reference field="1" count="1" selected="0">
            <x v="4"/>
          </reference>
          <reference field="14" count="0"/>
        </references>
      </pivotArea>
    </format>
    <format dxfId="5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BD40BC-5FF1-4832-84F4-40FE370DBBB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19:C25" firstHeaderRow="1" firstDataRow="1" firstDataCol="1"/>
  <pivotFields count="15">
    <pivotField showAll="0"/>
    <pivotField axis="axisRow" showAll="0">
      <items count="6">
        <item x="0"/>
        <item x="1"/>
        <item x="2"/>
        <item x="3"/>
        <item x="4"/>
        <item t="default"/>
      </items>
    </pivotField>
    <pivotField showAll="0"/>
    <pivotField showAll="0"/>
    <pivotField numFmtId="14" showAll="0"/>
    <pivotField showAll="0"/>
    <pivotField numFmtId="164" showAll="0"/>
    <pivotField dataField="1" numFmtId="164" showAll="0"/>
    <pivotField showAll="0"/>
    <pivotField showAll="0"/>
    <pivotField showAll="0"/>
    <pivotField showAll="0"/>
    <pivotField showAll="0"/>
    <pivotField showAll="0"/>
    <pivotField showAll="0"/>
  </pivotFields>
  <rowFields count="1">
    <field x="1"/>
  </rowFields>
  <rowItems count="6">
    <i>
      <x/>
    </i>
    <i>
      <x v="1"/>
    </i>
    <i>
      <x v="2"/>
    </i>
    <i>
      <x v="3"/>
    </i>
    <i>
      <x v="4"/>
    </i>
    <i t="grand">
      <x/>
    </i>
  </rowItems>
  <colItems count="1">
    <i/>
  </colItems>
  <dataFields count="1">
    <dataField name="Sum of Total_Amount" fld="7" baseField="0" baseItem="0" numFmtId="164"/>
  </dataFields>
  <formats count="9">
    <format dxfId="74">
      <pivotArea field="1" type="button" dataOnly="0" labelOnly="1" outline="0" axis="axisRow" fieldPosition="0"/>
    </format>
    <format dxfId="73">
      <pivotArea dataOnly="0" outline="0" axis="axisValues" fieldPosition="0"/>
    </format>
    <format dxfId="72">
      <pivotArea dataOnly="0" grandRow="1" axis="axisRow" fieldPosition="0"/>
    </format>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dataOnly="0" labelOnly="1" fieldPosition="0">
        <references count="1">
          <reference field="1" count="0"/>
        </references>
      </pivotArea>
    </format>
    <format dxfId="67">
      <pivotArea dataOnly="0" labelOnly="1" grandRow="1" outline="0" fieldPosition="0"/>
    </format>
    <format dxfId="6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C84ECA-EDAA-41B5-85EC-9C7BE64EDA5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F5:G21" firstHeaderRow="1" firstDataRow="1" firstDataCol="1"/>
  <pivotFields count="15">
    <pivotField showAll="0"/>
    <pivotField showAll="0">
      <items count="6">
        <item x="0"/>
        <item x="1"/>
        <item x="2"/>
        <item x="3"/>
        <item x="4"/>
        <item t="default"/>
      </items>
    </pivotField>
    <pivotField showAll="0"/>
    <pivotField showAll="0"/>
    <pivotField numFmtId="14" showAll="0"/>
    <pivotField showAll="0"/>
    <pivotField numFmtId="164" showAll="0"/>
    <pivotField dataField="1" numFmtId="164" showAll="0"/>
    <pivotField showAll="0"/>
    <pivotField showAll="0"/>
    <pivotField showAll="0"/>
    <pivotField showAll="0"/>
    <pivotField axis="axisRow" showAll="0">
      <items count="6">
        <item x="1"/>
        <item x="2"/>
        <item x="4"/>
        <item x="0"/>
        <item x="3"/>
        <item t="default"/>
      </items>
    </pivotField>
    <pivotField showAll="0"/>
    <pivotField axis="axisRow" showAll="0">
      <items count="3">
        <item x="1"/>
        <item x="0"/>
        <item t="default"/>
      </items>
    </pivotField>
  </pivotFields>
  <rowFields count="2">
    <field x="12"/>
    <field x="14"/>
  </rowFields>
  <rowItems count="16">
    <i>
      <x/>
    </i>
    <i r="1">
      <x/>
    </i>
    <i r="1">
      <x v="1"/>
    </i>
    <i>
      <x v="1"/>
    </i>
    <i r="1">
      <x/>
    </i>
    <i r="1">
      <x v="1"/>
    </i>
    <i>
      <x v="2"/>
    </i>
    <i r="1">
      <x/>
    </i>
    <i r="1">
      <x v="1"/>
    </i>
    <i>
      <x v="3"/>
    </i>
    <i r="1">
      <x/>
    </i>
    <i r="1">
      <x v="1"/>
    </i>
    <i>
      <x v="4"/>
    </i>
    <i r="1">
      <x/>
    </i>
    <i r="1">
      <x v="1"/>
    </i>
    <i t="grand">
      <x/>
    </i>
  </rowItems>
  <colItems count="1">
    <i/>
  </colItems>
  <dataFields count="1">
    <dataField name="Sum of Total_Amount" fld="7" baseField="0" baseItem="0" numFmtId="164"/>
  </dataFields>
  <formats count="29">
    <format dxfId="28">
      <pivotArea type="all" dataOnly="0" outline="0" fieldPosition="0"/>
    </format>
    <format dxfId="27">
      <pivotArea outline="0" collapsedLevelsAreSubtotals="1" fieldPosition="0"/>
    </format>
    <format dxfId="26">
      <pivotArea field="12" type="button" dataOnly="0" labelOnly="1" outline="0" axis="axisRow" fieldPosition="0"/>
    </format>
    <format dxfId="25">
      <pivotArea dataOnly="0" labelOnly="1" fieldPosition="0">
        <references count="1">
          <reference field="12" count="0"/>
        </references>
      </pivotArea>
    </format>
    <format dxfId="24">
      <pivotArea dataOnly="0" labelOnly="1" grandRow="1" outline="0" fieldPosition="0"/>
    </format>
    <format dxfId="23">
      <pivotArea dataOnly="0" labelOnly="1" fieldPosition="0">
        <references count="2">
          <reference field="12" count="1" selected="0">
            <x v="0"/>
          </reference>
          <reference field="14" count="0"/>
        </references>
      </pivotArea>
    </format>
    <format dxfId="22">
      <pivotArea dataOnly="0" labelOnly="1" fieldPosition="0">
        <references count="2">
          <reference field="12" count="1" selected="0">
            <x v="1"/>
          </reference>
          <reference field="14" count="0"/>
        </references>
      </pivotArea>
    </format>
    <format dxfId="21">
      <pivotArea dataOnly="0" labelOnly="1" fieldPosition="0">
        <references count="2">
          <reference field="12" count="1" selected="0">
            <x v="2"/>
          </reference>
          <reference field="14" count="0"/>
        </references>
      </pivotArea>
    </format>
    <format dxfId="20">
      <pivotArea dataOnly="0" labelOnly="1" fieldPosition="0">
        <references count="2">
          <reference field="12" count="1" selected="0">
            <x v="3"/>
          </reference>
          <reference field="14" count="0"/>
        </references>
      </pivotArea>
    </format>
    <format dxfId="19">
      <pivotArea dataOnly="0" labelOnly="1" fieldPosition="0">
        <references count="2">
          <reference field="12" count="1" selected="0">
            <x v="4"/>
          </reference>
          <reference field="14" count="0"/>
        </references>
      </pivotArea>
    </format>
    <format dxfId="18">
      <pivotArea dataOnly="0" labelOnly="1" outline="0" axis="axisValues" fieldPosition="0"/>
    </format>
    <format dxfId="17">
      <pivotArea collapsedLevelsAreSubtotals="1" fieldPosition="0">
        <references count="1">
          <reference field="12" count="1">
            <x v="0"/>
          </reference>
        </references>
      </pivotArea>
    </format>
    <format dxfId="16">
      <pivotArea collapsedLevelsAreSubtotals="1" fieldPosition="0">
        <references count="2">
          <reference field="12" count="1" selected="0">
            <x v="0"/>
          </reference>
          <reference field="14" count="0"/>
        </references>
      </pivotArea>
    </format>
    <format dxfId="15">
      <pivotArea collapsedLevelsAreSubtotals="1" fieldPosition="0">
        <references count="1">
          <reference field="12" count="1">
            <x v="1"/>
          </reference>
        </references>
      </pivotArea>
    </format>
    <format dxfId="14">
      <pivotArea collapsedLevelsAreSubtotals="1" fieldPosition="0">
        <references count="2">
          <reference field="12" count="1" selected="0">
            <x v="1"/>
          </reference>
          <reference field="14" count="0"/>
        </references>
      </pivotArea>
    </format>
    <format dxfId="13">
      <pivotArea collapsedLevelsAreSubtotals="1" fieldPosition="0">
        <references count="1">
          <reference field="12" count="1">
            <x v="2"/>
          </reference>
        </references>
      </pivotArea>
    </format>
    <format dxfId="12">
      <pivotArea collapsedLevelsAreSubtotals="1" fieldPosition="0">
        <references count="2">
          <reference field="12" count="1" selected="0">
            <x v="2"/>
          </reference>
          <reference field="14" count="0"/>
        </references>
      </pivotArea>
    </format>
    <format dxfId="11">
      <pivotArea collapsedLevelsAreSubtotals="1" fieldPosition="0">
        <references count="1">
          <reference field="12" count="1">
            <x v="3"/>
          </reference>
        </references>
      </pivotArea>
    </format>
    <format dxfId="10">
      <pivotArea collapsedLevelsAreSubtotals="1" fieldPosition="0">
        <references count="2">
          <reference field="12" count="1" selected="0">
            <x v="3"/>
          </reference>
          <reference field="14" count="0"/>
        </references>
      </pivotArea>
    </format>
    <format dxfId="9">
      <pivotArea collapsedLevelsAreSubtotals="1" fieldPosition="0">
        <references count="1">
          <reference field="12" count="1">
            <x v="4"/>
          </reference>
        </references>
      </pivotArea>
    </format>
    <format dxfId="8">
      <pivotArea collapsedLevelsAreSubtotals="1" fieldPosition="0">
        <references count="2">
          <reference field="12" count="1" selected="0">
            <x v="4"/>
          </reference>
          <reference field="14" count="0"/>
        </references>
      </pivotArea>
    </format>
    <format dxfId="7">
      <pivotArea field="12" type="button" dataOnly="0" labelOnly="1" outline="0" axis="axisRow" fieldPosition="0"/>
    </format>
    <format dxfId="6">
      <pivotArea dataOnly="0" labelOnly="1" fieldPosition="0">
        <references count="1">
          <reference field="12" count="0"/>
        </references>
      </pivotArea>
    </format>
    <format dxfId="5">
      <pivotArea dataOnly="0" labelOnly="1" fieldPosition="0">
        <references count="2">
          <reference field="12" count="1" selected="0">
            <x v="0"/>
          </reference>
          <reference field="14" count="0"/>
        </references>
      </pivotArea>
    </format>
    <format dxfId="4">
      <pivotArea dataOnly="0" labelOnly="1" fieldPosition="0">
        <references count="2">
          <reference field="12" count="1" selected="0">
            <x v="1"/>
          </reference>
          <reference field="14" count="0"/>
        </references>
      </pivotArea>
    </format>
    <format dxfId="3">
      <pivotArea dataOnly="0" labelOnly="1" fieldPosition="0">
        <references count="2">
          <reference field="12" count="1" selected="0">
            <x v="2"/>
          </reference>
          <reference field="14" count="0"/>
        </references>
      </pivotArea>
    </format>
    <format dxfId="2">
      <pivotArea dataOnly="0" labelOnly="1" fieldPosition="0">
        <references count="2">
          <reference field="12" count="1" selected="0">
            <x v="3"/>
          </reference>
          <reference field="14" count="0"/>
        </references>
      </pivotArea>
    </format>
    <format dxfId="1">
      <pivotArea dataOnly="0" labelOnly="1" fieldPosition="0">
        <references count="2">
          <reference field="12" count="1" selected="0">
            <x v="4"/>
          </reference>
          <reference field="14" count="0"/>
        </references>
      </pivotArea>
    </format>
    <format dxfId="0">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3055928-3250-489A-A333-D68D7C9F9D4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5:C26" firstHeaderRow="1" firstDataRow="1" firstDataCol="1"/>
  <pivotFields count="15">
    <pivotField showAll="0"/>
    <pivotField showAll="0">
      <items count="6">
        <item x="0"/>
        <item x="1"/>
        <item x="2"/>
        <item x="3"/>
        <item x="4"/>
        <item t="default"/>
      </items>
    </pivotField>
    <pivotField showAll="0"/>
    <pivotField axis="axisRow" showAll="0" sortType="descending">
      <items count="21">
        <item x="4"/>
        <item x="15"/>
        <item x="14"/>
        <item x="13"/>
        <item x="17"/>
        <item x="9"/>
        <item x="5"/>
        <item x="8"/>
        <item x="10"/>
        <item x="7"/>
        <item x="3"/>
        <item x="18"/>
        <item x="16"/>
        <item x="11"/>
        <item x="12"/>
        <item x="0"/>
        <item x="19"/>
        <item x="1"/>
        <item x="2"/>
        <item x="6"/>
        <item t="default"/>
      </items>
      <autoSortScope>
        <pivotArea dataOnly="0" outline="0" fieldPosition="0">
          <references count="1">
            <reference field="4294967294" count="1" selected="0">
              <x v="0"/>
            </reference>
          </references>
        </pivotArea>
      </autoSortScope>
    </pivotField>
    <pivotField numFmtId="14" showAll="0"/>
    <pivotField showAll="0"/>
    <pivotField numFmtId="164" showAll="0"/>
    <pivotField dataField="1" numFmtId="164" showAll="0"/>
    <pivotField showAll="0"/>
    <pivotField showAll="0"/>
    <pivotField showAll="0"/>
    <pivotField showAll="0"/>
    <pivotField showAll="0"/>
    <pivotField showAll="0"/>
    <pivotField showAll="0"/>
  </pivotFields>
  <rowFields count="1">
    <field x="3"/>
  </rowFields>
  <rowItems count="21">
    <i>
      <x v="6"/>
    </i>
    <i>
      <x v="1"/>
    </i>
    <i>
      <x v="4"/>
    </i>
    <i>
      <x v="15"/>
    </i>
    <i>
      <x v="3"/>
    </i>
    <i>
      <x v="17"/>
    </i>
    <i>
      <x v="19"/>
    </i>
    <i>
      <x v="16"/>
    </i>
    <i>
      <x v="8"/>
    </i>
    <i>
      <x v="9"/>
    </i>
    <i>
      <x/>
    </i>
    <i>
      <x v="10"/>
    </i>
    <i>
      <x v="13"/>
    </i>
    <i>
      <x v="11"/>
    </i>
    <i>
      <x v="7"/>
    </i>
    <i>
      <x v="2"/>
    </i>
    <i>
      <x v="5"/>
    </i>
    <i>
      <x v="12"/>
    </i>
    <i>
      <x v="18"/>
    </i>
    <i>
      <x v="14"/>
    </i>
    <i t="grand">
      <x/>
    </i>
  </rowItems>
  <colItems count="1">
    <i/>
  </colItems>
  <dataFields count="1">
    <dataField name="Sum of Total_Amount" fld="7" baseField="0" baseItem="0" numFmtId="164"/>
  </dataFields>
  <formats count="12">
    <format dxfId="40">
      <pivotArea type="all" dataOnly="0" outline="0" fieldPosition="0"/>
    </format>
    <format dxfId="39">
      <pivotArea outline="0" collapsedLevelsAreSubtotals="1" fieldPosition="0"/>
    </format>
    <format dxfId="38">
      <pivotArea field="3" type="button" dataOnly="0" labelOnly="1" outline="0" axis="axisRow" fieldPosition="0"/>
    </format>
    <format dxfId="37">
      <pivotArea dataOnly="0" labelOnly="1" fieldPosition="0">
        <references count="1">
          <reference field="3" count="0"/>
        </references>
      </pivotArea>
    </format>
    <format dxfId="36">
      <pivotArea dataOnly="0" labelOnly="1" grandRow="1" outline="0" fieldPosition="0"/>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3" type="button" dataOnly="0" labelOnly="1" outline="0" axis="axisRow" fieldPosition="0"/>
    </format>
    <format dxfId="31">
      <pivotArea dataOnly="0" labelOnly="1" fieldPosition="0">
        <references count="1">
          <reference field="3" count="0"/>
        </references>
      </pivotArea>
    </format>
    <format dxfId="30">
      <pivotArea dataOnly="0" labelOnly="1" grandRow="1" outline="0" fieldPosition="0"/>
    </format>
    <format dxfId="29">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E6E1F8-3F9F-425E-9B16-E0322EFC72A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J5:K9" firstHeaderRow="1" firstDataRow="1" firstDataCol="1"/>
  <pivotFields count="15">
    <pivotField showAll="0"/>
    <pivotField showAll="0">
      <items count="6">
        <item x="0"/>
        <item x="1"/>
        <item x="2"/>
        <item x="3"/>
        <item x="4"/>
        <item t="default"/>
      </items>
    </pivotField>
    <pivotField showAll="0"/>
    <pivotField showAll="0"/>
    <pivotField numFmtId="14" showAll="0"/>
    <pivotField dataField="1" showAll="0"/>
    <pivotField numFmtId="164" showAll="0"/>
    <pivotField numFmtId="164" showAll="0"/>
    <pivotField axis="axisRow" showAll="0">
      <items count="4">
        <item x="1"/>
        <item x="0"/>
        <item x="2"/>
        <item t="default"/>
      </items>
    </pivotField>
    <pivotField showAll="0"/>
    <pivotField showAll="0"/>
    <pivotField showAll="0"/>
    <pivotField showAll="0"/>
    <pivotField showAll="0"/>
    <pivotField showAll="0"/>
  </pivotFields>
  <rowFields count="1">
    <field x="8"/>
  </rowFields>
  <rowItems count="4">
    <i>
      <x/>
    </i>
    <i>
      <x v="1"/>
    </i>
    <i>
      <x v="2"/>
    </i>
    <i t="grand">
      <x/>
    </i>
  </rowItems>
  <colItems count="1">
    <i/>
  </colItems>
  <dataFields count="1">
    <dataField name="Sum of Quantity" fld="5" baseField="0" baseItem="0"/>
  </dataFields>
  <formats count="7">
    <format dxfId="47">
      <pivotArea type="all" dataOnly="0" outline="0" fieldPosition="0"/>
    </format>
    <format dxfId="46">
      <pivotArea outline="0" collapsedLevelsAreSubtotals="1" fieldPosition="0"/>
    </format>
    <format dxfId="45">
      <pivotArea field="8" type="button" dataOnly="0" labelOnly="1" outline="0" axis="axisRow" fieldPosition="0"/>
    </format>
    <format dxfId="44">
      <pivotArea dataOnly="0" labelOnly="1" fieldPosition="0">
        <references count="1">
          <reference field="8" count="0"/>
        </references>
      </pivotArea>
    </format>
    <format dxfId="43">
      <pivotArea dataOnly="0" labelOnly="1" grandRow="1" outline="0" fieldPosition="0"/>
    </format>
    <format dxfId="42">
      <pivotArea dataOnly="0" labelOnly="1" outline="0" axis="axisValues" fieldPosition="0"/>
    </format>
    <format dxfId="41">
      <pivotArea dataOnly="0" fieldPosition="0">
        <references count="1">
          <reference field="8" count="0"/>
        </references>
      </pivotArea>
    </format>
  </format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8" count="1" selected="0">
            <x v="0"/>
          </reference>
        </references>
      </pivotArea>
    </chartFormat>
    <chartFormat chart="3" format="7">
      <pivotArea type="data" outline="0" fieldPosition="0">
        <references count="2">
          <reference field="4294967294" count="1" selected="0">
            <x v="0"/>
          </reference>
          <reference field="8" count="1" selected="0">
            <x v="1"/>
          </reference>
        </references>
      </pivotArea>
    </chartFormat>
    <chartFormat chart="3" format="8">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ystems" xr10:uid="{B7A7970B-BF94-4933-B0AE-05113E5B6004}" sourceName="Subsystems">
  <data>
    <tabular pivotCacheId="480856718">
      <items count="5">
        <i x="0"/>
        <i x="1"/>
        <i x="2" s="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systems" xr10:uid="{4F70A669-E087-4835-9FA9-0DC393B19617}" cache="Slicer_Subsystems" caption="Subsystems" columnCount="5" showCaption="0" style="SlicerStyleDark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78A970-AE0A-4A13-A597-48F8BD968770}" name="tblbills" displayName="tblbills" ref="A1:O451" headerRowDxfId="106" dataDxfId="105">
  <sortState xmlns:xlrd2="http://schemas.microsoft.com/office/spreadsheetml/2017/richdata2" ref="C2:M879">
    <sortCondition descending="1" ref="E2:E879"/>
  </sortState>
  <tableColumns count="15">
    <tableColumn id="4" xr3:uid="{5DB5176A-B7DA-4A1C-A1D5-CD8F1347F2E1}" name="Product ID" dataDxfId="104" totalsRowDxfId="103">
      <calculatedColumnFormula>"DE"&amp;ROW()+999</calculatedColumnFormula>
    </tableColumn>
    <tableColumn id="1" xr3:uid="{03A6322E-BE9F-47D1-8C15-947126CDEE54}" name="Subsystems" dataDxfId="102" totalsRowDxfId="101"/>
    <tableColumn id="5" xr3:uid="{D9A618B6-1016-45C5-A56F-28571F76BAFC}" name="Component_Name" dataDxfId="100" totalsRowDxfId="99"/>
    <tableColumn id="3" xr3:uid="{95833E27-9693-4A89-831D-8034D5FEBCF6}" name="Vendor_Name" totalsRowLabel="Total" dataDxfId="98" totalsRowDxfId="97"/>
    <tableColumn id="2" xr3:uid="{8BE9EF44-2177-4965-88C5-7701871EAE91}" name="Date" dataDxfId="96" totalsRowDxfId="95"/>
    <tableColumn id="7" xr3:uid="{DCC216E4-0D2D-46AE-A871-74290C15417F}" name="Quantity" dataDxfId="94" totalsRowDxfId="93"/>
    <tableColumn id="8" xr3:uid="{3B7AF2B9-1D73-432D-8237-8797D96FFCFF}" name="Unit Cost" dataDxfId="92" totalsRowDxfId="91"/>
    <tableColumn id="9" xr3:uid="{31235022-8360-481B-9EB7-60D92FCB5BA3}" name="Total_Amount" dataDxfId="90" totalsRowDxfId="89"/>
    <tableColumn id="10" xr3:uid="{54F92493-2FD8-4846-A010-DCB6B3C1DA34}" name="Payment_Status" dataDxfId="88" totalsRowDxfId="87"/>
    <tableColumn id="6" xr3:uid="{F875FAE1-F2DA-4B3E-A7B7-E7D465B5B043}" name="Expense_Category" dataDxfId="86" totalsRowDxfId="85"/>
    <tableColumn id="12" xr3:uid="{760071E2-F940-4C4F-B849-4B8239171CFA}" name="Priority" dataDxfId="84" totalsRowDxfId="83"/>
    <tableColumn id="13" xr3:uid="{964EB459-0575-4E52-9F20-B803893ED9BB}" name="Delay_Days" dataDxfId="82" totalsRowDxfId="81"/>
    <tableColumn id="15" xr3:uid="{9F2529EF-BDBD-45C5-9675-41D2FEFDC9E4}" name="City" totalsRowFunction="count" dataDxfId="80" totalsRowDxfId="79"/>
    <tableColumn id="16" xr3:uid="{AF056D12-A489-4D54-8D6F-19708B61E403}" name="Month" dataDxfId="78" totalsRowDxfId="77">
      <calculatedColumnFormula>TEXT(tblbills[[#This Row],[Date]],"mmm")</calculatedColumnFormula>
    </tableColumn>
    <tableColumn id="14" xr3:uid="{79018DDB-4A6E-4EFE-B9E9-03613D12D53E}" name="Year" dataDxfId="76" totalsRowDxfId="75">
      <calculatedColumnFormula>TEXT(tblbills[[#This Row],[Date]],"yyyy")</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601931-CF94-4FFA-B88B-C79DAAA8A98C}" name="Table4" displayName="Table4" ref="B8:C16" totalsRowShown="0" headerRowDxfId="51" dataDxfId="50">
  <autoFilter ref="B8:C16" xr:uid="{33601931-CF94-4FFA-B88B-C79DAAA8A98C}">
    <filterColumn colId="0" hiddenButton="1"/>
    <filterColumn colId="1" hiddenButton="1"/>
  </autoFilter>
  <tableColumns count="2">
    <tableColumn id="1" xr3:uid="{17159228-061B-46C3-B086-199A5D79E488}" name="DE1016" dataDxfId="49"/>
    <tableColumn id="2" xr3:uid="{D81499F6-EA19-4F01-9F80-B17744998421}" name="Value" dataDxfId="48">
      <calculatedColumnFormula>VLOOKUP($B$8, tblbills[], ROW()-7, FALSE)</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1048576"/>
  <sheetViews>
    <sheetView topLeftCell="B1" workbookViewId="0">
      <selection activeCell="C20" sqref="C20"/>
    </sheetView>
  </sheetViews>
  <sheetFormatPr defaultRowHeight="14.4" x14ac:dyDescent="0.3"/>
  <cols>
    <col min="1" max="1" width="12.77734375" customWidth="1"/>
    <col min="2" max="2" width="20.88671875" style="1" customWidth="1"/>
    <col min="3" max="3" width="17.33203125" customWidth="1"/>
    <col min="4" max="4" width="23.109375" style="2" customWidth="1"/>
    <col min="5" max="5" width="18.6640625" customWidth="1"/>
    <col min="6" max="6" width="10.5546875" customWidth="1"/>
    <col min="7" max="7" width="11.77734375" customWidth="1"/>
    <col min="8" max="8" width="14.88671875" customWidth="1"/>
    <col min="9" max="9" width="16.77734375" customWidth="1"/>
    <col min="10" max="10" width="20.21875" customWidth="1"/>
    <col min="12" max="12" width="11.5546875" customWidth="1"/>
    <col min="13" max="14" width="11.44140625" customWidth="1"/>
    <col min="15" max="15" width="19.77734375" style="1" customWidth="1"/>
    <col min="17" max="17" width="11.109375" style="5" customWidth="1"/>
    <col min="18" max="18" width="15" style="5" customWidth="1"/>
    <col min="19" max="19" width="16.6640625" style="1" customWidth="1"/>
    <col min="20" max="20" width="10.77734375" style="1" customWidth="1"/>
    <col min="21" max="21" width="12.5546875" style="1" customWidth="1"/>
    <col min="22" max="22" width="10.77734375" style="1" customWidth="1"/>
  </cols>
  <sheetData>
    <row r="1" spans="1:22" x14ac:dyDescent="0.3">
      <c r="A1" s="3" t="s">
        <v>97</v>
      </c>
      <c r="B1" s="3" t="s">
        <v>96</v>
      </c>
      <c r="C1" s="3" t="s">
        <v>3</v>
      </c>
      <c r="D1" s="3" t="s">
        <v>1</v>
      </c>
      <c r="E1" s="3" t="s">
        <v>0</v>
      </c>
      <c r="F1" s="4" t="s">
        <v>5</v>
      </c>
      <c r="G1" s="4" t="s">
        <v>98</v>
      </c>
      <c r="H1" s="4" t="s">
        <v>6</v>
      </c>
      <c r="I1" s="3" t="s">
        <v>7</v>
      </c>
      <c r="J1" s="3" t="s">
        <v>4</v>
      </c>
      <c r="K1" s="3" t="s">
        <v>8</v>
      </c>
      <c r="L1" s="3" t="s">
        <v>9</v>
      </c>
      <c r="M1" s="3" t="s">
        <v>10</v>
      </c>
      <c r="N1" s="4" t="s">
        <v>80</v>
      </c>
      <c r="O1" s="3" t="s">
        <v>91</v>
      </c>
      <c r="Q1"/>
      <c r="R1"/>
      <c r="S1"/>
      <c r="T1"/>
      <c r="U1"/>
      <c r="V1"/>
    </row>
    <row r="2" spans="1:22" x14ac:dyDescent="0.3">
      <c r="A2" s="1" t="str">
        <f>"DE"&amp;ROW()+999</f>
        <v>DE1001</v>
      </c>
      <c r="B2" s="1" t="s">
        <v>19</v>
      </c>
      <c r="C2" s="1" t="s">
        <v>50</v>
      </c>
      <c r="D2" s="1" t="s">
        <v>11</v>
      </c>
      <c r="E2" s="2">
        <v>45744</v>
      </c>
      <c r="F2" s="1">
        <v>18</v>
      </c>
      <c r="G2" s="5">
        <v>3553</v>
      </c>
      <c r="H2" s="5">
        <v>63954</v>
      </c>
      <c r="I2" s="1" t="s">
        <v>22</v>
      </c>
      <c r="J2" s="1" t="s">
        <v>43</v>
      </c>
      <c r="K2" s="1" t="s">
        <v>32</v>
      </c>
      <c r="L2" s="1">
        <v>5</v>
      </c>
      <c r="M2" s="1" t="s">
        <v>44</v>
      </c>
      <c r="N2" s="1" t="str">
        <f>TEXT(tblbills[[#This Row],[Date]],"mmm")</f>
        <v>Mar</v>
      </c>
      <c r="O2" s="1" t="str">
        <f>TEXT(tblbills[[#This Row],[Date]],"yyyy")</f>
        <v>2025</v>
      </c>
      <c r="Q2"/>
      <c r="R2"/>
      <c r="S2"/>
      <c r="T2"/>
      <c r="U2"/>
      <c r="V2"/>
    </row>
    <row r="3" spans="1:22" x14ac:dyDescent="0.3">
      <c r="A3" s="1" t="str">
        <f t="shared" ref="A3:A66" si="0">"DE"&amp;ROW()+999</f>
        <v>DE1002</v>
      </c>
      <c r="B3" s="1" t="s">
        <v>19</v>
      </c>
      <c r="C3" s="1" t="s">
        <v>48</v>
      </c>
      <c r="D3" s="1" t="s">
        <v>79</v>
      </c>
      <c r="E3" s="2">
        <v>45738</v>
      </c>
      <c r="F3" s="1">
        <v>20</v>
      </c>
      <c r="G3" s="5">
        <v>1249</v>
      </c>
      <c r="H3" s="5">
        <v>24980</v>
      </c>
      <c r="I3" s="1" t="s">
        <v>15</v>
      </c>
      <c r="J3" s="1" t="s">
        <v>43</v>
      </c>
      <c r="K3" s="1" t="s">
        <v>16</v>
      </c>
      <c r="L3" s="1">
        <v>5</v>
      </c>
      <c r="M3" s="1" t="s">
        <v>17</v>
      </c>
      <c r="N3" s="1" t="str">
        <f>TEXT(tblbills[[#This Row],[Date]],"mmm")</f>
        <v>Mar</v>
      </c>
      <c r="O3" s="1" t="str">
        <f>TEXT(tblbills[[#This Row],[Date]],"yyyy")</f>
        <v>2025</v>
      </c>
      <c r="Q3"/>
      <c r="R3"/>
      <c r="S3"/>
      <c r="T3"/>
      <c r="U3"/>
      <c r="V3"/>
    </row>
    <row r="4" spans="1:22" x14ac:dyDescent="0.3">
      <c r="A4" s="1" t="str">
        <f t="shared" si="0"/>
        <v>DE1003</v>
      </c>
      <c r="B4" s="1" t="s">
        <v>19</v>
      </c>
      <c r="C4" s="1" t="s">
        <v>50</v>
      </c>
      <c r="D4" s="1" t="s">
        <v>11</v>
      </c>
      <c r="E4" s="2">
        <v>45736</v>
      </c>
      <c r="F4" s="1">
        <v>15</v>
      </c>
      <c r="G4" s="5">
        <v>1593</v>
      </c>
      <c r="H4" s="5">
        <v>23895</v>
      </c>
      <c r="I4" s="1" t="s">
        <v>22</v>
      </c>
      <c r="J4" s="1" t="s">
        <v>21</v>
      </c>
      <c r="K4" s="1" t="s">
        <v>28</v>
      </c>
      <c r="L4" s="1">
        <v>7</v>
      </c>
      <c r="M4" s="1" t="s">
        <v>23</v>
      </c>
      <c r="N4" s="1" t="str">
        <f>TEXT(tblbills[[#This Row],[Date]],"mmm")</f>
        <v>Mar</v>
      </c>
      <c r="O4" s="1" t="str">
        <f>TEXT(tblbills[[#This Row],[Date]],"yyyy")</f>
        <v>2025</v>
      </c>
      <c r="Q4"/>
      <c r="R4"/>
      <c r="S4"/>
      <c r="T4"/>
      <c r="U4"/>
      <c r="V4"/>
    </row>
    <row r="5" spans="1:22" x14ac:dyDescent="0.3">
      <c r="A5" s="1" t="str">
        <f t="shared" si="0"/>
        <v>DE1004</v>
      </c>
      <c r="B5" s="1" t="s">
        <v>19</v>
      </c>
      <c r="C5" s="1" t="s">
        <v>72</v>
      </c>
      <c r="D5" s="1" t="s">
        <v>51</v>
      </c>
      <c r="E5" s="2">
        <v>45731</v>
      </c>
      <c r="F5" s="1">
        <v>7</v>
      </c>
      <c r="G5" s="5">
        <v>3265</v>
      </c>
      <c r="H5" s="5">
        <v>22855</v>
      </c>
      <c r="I5" s="1" t="s">
        <v>27</v>
      </c>
      <c r="J5" s="1" t="s">
        <v>14</v>
      </c>
      <c r="K5" s="1" t="s">
        <v>16</v>
      </c>
      <c r="L5" s="1">
        <v>2</v>
      </c>
      <c r="M5" s="1" t="s">
        <v>33</v>
      </c>
      <c r="N5" s="1" t="str">
        <f>TEXT(tblbills[[#This Row],[Date]],"mmm")</f>
        <v>Mar</v>
      </c>
      <c r="O5" s="1" t="str">
        <f>TEXT(tblbills[[#This Row],[Date]],"yyyy")</f>
        <v>2025</v>
      </c>
      <c r="Q5"/>
      <c r="R5"/>
      <c r="S5"/>
      <c r="T5"/>
      <c r="U5"/>
      <c r="V5"/>
    </row>
    <row r="6" spans="1:22" x14ac:dyDescent="0.3">
      <c r="A6" s="1" t="str">
        <f t="shared" si="0"/>
        <v>DE1005</v>
      </c>
      <c r="B6" s="1" t="s">
        <v>19</v>
      </c>
      <c r="C6" s="1" t="s">
        <v>50</v>
      </c>
      <c r="D6" s="1" t="s">
        <v>30</v>
      </c>
      <c r="E6" s="2">
        <v>45729</v>
      </c>
      <c r="F6" s="1">
        <v>13</v>
      </c>
      <c r="G6" s="5">
        <v>1337</v>
      </c>
      <c r="H6" s="5">
        <v>17381</v>
      </c>
      <c r="I6" s="1" t="s">
        <v>15</v>
      </c>
      <c r="J6" s="1" t="s">
        <v>47</v>
      </c>
      <c r="K6" s="1" t="s">
        <v>28</v>
      </c>
      <c r="L6" s="1">
        <v>5</v>
      </c>
      <c r="M6" s="1" t="s">
        <v>33</v>
      </c>
      <c r="N6" s="1" t="str">
        <f>TEXT(tblbills[[#This Row],[Date]],"mmm")</f>
        <v>Mar</v>
      </c>
      <c r="O6" s="1" t="str">
        <f>TEXT(tblbills[[#This Row],[Date]],"yyyy")</f>
        <v>2025</v>
      </c>
      <c r="Q6"/>
      <c r="R6"/>
      <c r="S6"/>
      <c r="T6"/>
      <c r="U6"/>
      <c r="V6"/>
    </row>
    <row r="7" spans="1:22" x14ac:dyDescent="0.3">
      <c r="A7" s="1" t="str">
        <f t="shared" si="0"/>
        <v>DE1006</v>
      </c>
      <c r="B7" s="1" t="s">
        <v>19</v>
      </c>
      <c r="C7" s="1" t="s">
        <v>72</v>
      </c>
      <c r="D7" s="1" t="s">
        <v>62</v>
      </c>
      <c r="E7" s="2">
        <v>45729</v>
      </c>
      <c r="F7" s="1">
        <v>8</v>
      </c>
      <c r="G7" s="5">
        <v>2405</v>
      </c>
      <c r="H7" s="5">
        <v>19240</v>
      </c>
      <c r="I7" s="1" t="s">
        <v>27</v>
      </c>
      <c r="J7" s="1" t="s">
        <v>39</v>
      </c>
      <c r="K7" s="1" t="s">
        <v>16</v>
      </c>
      <c r="L7" s="1">
        <v>0</v>
      </c>
      <c r="M7" s="1" t="s">
        <v>44</v>
      </c>
      <c r="N7" s="1" t="str">
        <f>TEXT(tblbills[[#This Row],[Date]],"mmm")</f>
        <v>Mar</v>
      </c>
      <c r="O7" s="1" t="str">
        <f>TEXT(tblbills[[#This Row],[Date]],"yyyy")</f>
        <v>2025</v>
      </c>
      <c r="Q7"/>
      <c r="R7"/>
      <c r="S7"/>
      <c r="T7"/>
      <c r="U7"/>
      <c r="V7"/>
    </row>
    <row r="8" spans="1:22" x14ac:dyDescent="0.3">
      <c r="A8" s="1" t="str">
        <f t="shared" si="0"/>
        <v>DE1007</v>
      </c>
      <c r="B8" s="1" t="s">
        <v>19</v>
      </c>
      <c r="C8" s="1" t="s">
        <v>72</v>
      </c>
      <c r="D8" s="1" t="s">
        <v>36</v>
      </c>
      <c r="E8" s="2">
        <v>45728</v>
      </c>
      <c r="F8" s="1">
        <v>4</v>
      </c>
      <c r="G8" s="5">
        <v>2988</v>
      </c>
      <c r="H8" s="5">
        <v>11952</v>
      </c>
      <c r="I8" s="1" t="s">
        <v>27</v>
      </c>
      <c r="J8" s="1" t="s">
        <v>47</v>
      </c>
      <c r="K8" s="1" t="s">
        <v>28</v>
      </c>
      <c r="L8" s="1">
        <v>10</v>
      </c>
      <c r="M8" s="1" t="s">
        <v>17</v>
      </c>
      <c r="N8" s="1" t="str">
        <f>TEXT(tblbills[[#This Row],[Date]],"mmm")</f>
        <v>Mar</v>
      </c>
      <c r="O8" s="1" t="str">
        <f>TEXT(tblbills[[#This Row],[Date]],"yyyy")</f>
        <v>2025</v>
      </c>
      <c r="Q8"/>
      <c r="R8"/>
      <c r="S8"/>
      <c r="T8"/>
      <c r="U8"/>
      <c r="V8"/>
    </row>
    <row r="9" spans="1:22" x14ac:dyDescent="0.3">
      <c r="A9" s="1" t="str">
        <f t="shared" si="0"/>
        <v>DE1008</v>
      </c>
      <c r="B9" s="1" t="s">
        <v>19</v>
      </c>
      <c r="C9" s="1" t="s">
        <v>50</v>
      </c>
      <c r="D9" s="1" t="s">
        <v>36</v>
      </c>
      <c r="E9" s="2">
        <v>45718</v>
      </c>
      <c r="F9" s="1">
        <v>14</v>
      </c>
      <c r="G9" s="5">
        <v>1109</v>
      </c>
      <c r="H9" s="5">
        <v>15526</v>
      </c>
      <c r="I9" s="1" t="s">
        <v>15</v>
      </c>
      <c r="J9" s="1" t="s">
        <v>59</v>
      </c>
      <c r="K9" s="1" t="s">
        <v>32</v>
      </c>
      <c r="L9" s="1">
        <v>2</v>
      </c>
      <c r="M9" s="1" t="s">
        <v>29</v>
      </c>
      <c r="N9" s="1" t="str">
        <f>TEXT(tblbills[[#This Row],[Date]],"mmm")</f>
        <v>Mar</v>
      </c>
      <c r="O9" s="1" t="str">
        <f>TEXT(tblbills[[#This Row],[Date]],"yyyy")</f>
        <v>2025</v>
      </c>
      <c r="Q9"/>
      <c r="R9"/>
      <c r="S9"/>
      <c r="T9"/>
      <c r="U9"/>
      <c r="V9"/>
    </row>
    <row r="10" spans="1:22" x14ac:dyDescent="0.3">
      <c r="A10" s="1" t="str">
        <f t="shared" si="0"/>
        <v>DE1009</v>
      </c>
      <c r="B10" s="1" t="s">
        <v>19</v>
      </c>
      <c r="C10" s="1" t="s">
        <v>50</v>
      </c>
      <c r="D10" s="1" t="s">
        <v>56</v>
      </c>
      <c r="E10" s="2">
        <v>45714</v>
      </c>
      <c r="F10" s="1">
        <v>19</v>
      </c>
      <c r="G10" s="5">
        <v>901</v>
      </c>
      <c r="H10" s="5">
        <v>17119</v>
      </c>
      <c r="I10" s="1" t="s">
        <v>15</v>
      </c>
      <c r="J10" s="1" t="s">
        <v>39</v>
      </c>
      <c r="K10" s="1" t="s">
        <v>16</v>
      </c>
      <c r="L10" s="1">
        <v>2</v>
      </c>
      <c r="M10" s="1" t="s">
        <v>29</v>
      </c>
      <c r="N10" s="1" t="str">
        <f>TEXT(tblbills[[#This Row],[Date]],"mmm")</f>
        <v>Feb</v>
      </c>
      <c r="O10" s="1" t="str">
        <f>TEXT(tblbills[[#This Row],[Date]],"yyyy")</f>
        <v>2025</v>
      </c>
      <c r="Q10"/>
      <c r="R10"/>
      <c r="S10"/>
      <c r="T10"/>
      <c r="U10"/>
      <c r="V10"/>
    </row>
    <row r="11" spans="1:22" x14ac:dyDescent="0.3">
      <c r="A11" s="1" t="str">
        <f t="shared" si="0"/>
        <v>DE1010</v>
      </c>
      <c r="B11" s="1" t="s">
        <v>19</v>
      </c>
      <c r="C11" s="1" t="s">
        <v>72</v>
      </c>
      <c r="D11" s="1" t="s">
        <v>11</v>
      </c>
      <c r="E11" s="2">
        <v>45712</v>
      </c>
      <c r="F11" s="1">
        <v>4</v>
      </c>
      <c r="G11" s="5">
        <v>909</v>
      </c>
      <c r="H11" s="5">
        <v>3636</v>
      </c>
      <c r="I11" s="1" t="s">
        <v>15</v>
      </c>
      <c r="J11" s="1" t="s">
        <v>39</v>
      </c>
      <c r="K11" s="1" t="s">
        <v>16</v>
      </c>
      <c r="L11" s="1">
        <v>0</v>
      </c>
      <c r="M11" s="1" t="s">
        <v>44</v>
      </c>
      <c r="N11" s="1" t="str">
        <f>TEXT(tblbills[[#This Row],[Date]],"mmm")</f>
        <v>Feb</v>
      </c>
      <c r="O11" s="1" t="str">
        <f>TEXT(tblbills[[#This Row],[Date]],"yyyy")</f>
        <v>2025</v>
      </c>
      <c r="Q11"/>
      <c r="R11"/>
      <c r="S11"/>
      <c r="T11"/>
      <c r="U11"/>
      <c r="V11"/>
    </row>
    <row r="12" spans="1:22" x14ac:dyDescent="0.3">
      <c r="A12" s="1" t="str">
        <f t="shared" si="0"/>
        <v>DE1011</v>
      </c>
      <c r="B12" s="1" t="s">
        <v>19</v>
      </c>
      <c r="C12" s="1" t="s">
        <v>25</v>
      </c>
      <c r="D12" s="1" t="s">
        <v>11</v>
      </c>
      <c r="E12" s="2">
        <v>45709</v>
      </c>
      <c r="F12" s="1">
        <v>2</v>
      </c>
      <c r="G12" s="5">
        <v>1137</v>
      </c>
      <c r="H12" s="5">
        <v>2274</v>
      </c>
      <c r="I12" s="1" t="s">
        <v>15</v>
      </c>
      <c r="J12" s="1" t="s">
        <v>26</v>
      </c>
      <c r="K12" s="1" t="s">
        <v>32</v>
      </c>
      <c r="L12" s="1">
        <v>7</v>
      </c>
      <c r="M12" s="1" t="s">
        <v>44</v>
      </c>
      <c r="N12" s="1" t="str">
        <f>TEXT(tblbills[[#This Row],[Date]],"mmm")</f>
        <v>Feb</v>
      </c>
      <c r="O12" s="1" t="str">
        <f>TEXT(tblbills[[#This Row],[Date]],"yyyy")</f>
        <v>2025</v>
      </c>
      <c r="Q12"/>
      <c r="R12"/>
      <c r="S12"/>
      <c r="T12"/>
      <c r="U12"/>
      <c r="V12"/>
    </row>
    <row r="13" spans="1:22" x14ac:dyDescent="0.3">
      <c r="A13" s="1" t="str">
        <f t="shared" si="0"/>
        <v>DE1012</v>
      </c>
      <c r="B13" s="1" t="s">
        <v>19</v>
      </c>
      <c r="C13" s="1" t="s">
        <v>48</v>
      </c>
      <c r="D13" s="1" t="s">
        <v>36</v>
      </c>
      <c r="E13" s="2">
        <v>45709</v>
      </c>
      <c r="F13" s="1">
        <v>2</v>
      </c>
      <c r="G13" s="5">
        <v>1656</v>
      </c>
      <c r="H13" s="5">
        <v>3312</v>
      </c>
      <c r="I13" s="1" t="s">
        <v>27</v>
      </c>
      <c r="J13" s="1" t="s">
        <v>21</v>
      </c>
      <c r="K13" s="1" t="s">
        <v>32</v>
      </c>
      <c r="L13" s="1">
        <v>10</v>
      </c>
      <c r="M13" s="1" t="s">
        <v>23</v>
      </c>
      <c r="N13" s="1" t="str">
        <f>TEXT(tblbills[[#This Row],[Date]],"mmm")</f>
        <v>Feb</v>
      </c>
      <c r="O13" s="1" t="str">
        <f>TEXT(tblbills[[#This Row],[Date]],"yyyy")</f>
        <v>2025</v>
      </c>
      <c r="Q13"/>
      <c r="R13"/>
      <c r="S13"/>
      <c r="T13"/>
      <c r="U13"/>
      <c r="V13"/>
    </row>
    <row r="14" spans="1:22" x14ac:dyDescent="0.3">
      <c r="A14" s="1" t="str">
        <f t="shared" si="0"/>
        <v>DE1013</v>
      </c>
      <c r="B14" s="1" t="s">
        <v>19</v>
      </c>
      <c r="C14" s="1" t="s">
        <v>50</v>
      </c>
      <c r="D14" s="1" t="s">
        <v>49</v>
      </c>
      <c r="E14" s="2">
        <v>45704</v>
      </c>
      <c r="F14" s="1">
        <v>8</v>
      </c>
      <c r="G14" s="5">
        <v>1253</v>
      </c>
      <c r="H14" s="5">
        <v>10024</v>
      </c>
      <c r="I14" s="1" t="s">
        <v>15</v>
      </c>
      <c r="J14" s="1" t="s">
        <v>47</v>
      </c>
      <c r="K14" s="1" t="s">
        <v>28</v>
      </c>
      <c r="L14" s="1">
        <v>7</v>
      </c>
      <c r="M14" s="1" t="s">
        <v>33</v>
      </c>
      <c r="N14" s="1" t="str">
        <f>TEXT(tblbills[[#This Row],[Date]],"mmm")</f>
        <v>Feb</v>
      </c>
      <c r="O14" s="1" t="str">
        <f>TEXT(tblbills[[#This Row],[Date]],"yyyy")</f>
        <v>2025</v>
      </c>
      <c r="Q14"/>
      <c r="R14"/>
      <c r="S14"/>
      <c r="T14"/>
      <c r="U14"/>
      <c r="V14"/>
    </row>
    <row r="15" spans="1:22" x14ac:dyDescent="0.3">
      <c r="A15" s="1" t="str">
        <f t="shared" si="0"/>
        <v>DE1014</v>
      </c>
      <c r="B15" s="1" t="s">
        <v>19</v>
      </c>
      <c r="C15" s="1" t="s">
        <v>25</v>
      </c>
      <c r="D15" s="1" t="s">
        <v>65</v>
      </c>
      <c r="E15" s="2">
        <v>45699</v>
      </c>
      <c r="F15" s="1">
        <v>12</v>
      </c>
      <c r="G15" s="5">
        <v>574</v>
      </c>
      <c r="H15" s="5">
        <v>6888</v>
      </c>
      <c r="I15" s="1" t="s">
        <v>27</v>
      </c>
      <c r="J15" s="1" t="s">
        <v>39</v>
      </c>
      <c r="K15" s="1" t="s">
        <v>32</v>
      </c>
      <c r="L15" s="1">
        <v>10</v>
      </c>
      <c r="M15" s="1" t="s">
        <v>17</v>
      </c>
      <c r="N15" s="1" t="str">
        <f>TEXT(tblbills[[#This Row],[Date]],"mmm")</f>
        <v>Feb</v>
      </c>
      <c r="O15" s="1" t="str">
        <f>TEXT(tblbills[[#This Row],[Date]],"yyyy")</f>
        <v>2025</v>
      </c>
      <c r="Q15"/>
      <c r="R15"/>
      <c r="S15"/>
      <c r="T15"/>
      <c r="U15"/>
      <c r="V15"/>
    </row>
    <row r="16" spans="1:22" x14ac:dyDescent="0.3">
      <c r="A16" s="1" t="str">
        <f t="shared" si="0"/>
        <v>DE1015</v>
      </c>
      <c r="B16" s="1" t="s">
        <v>19</v>
      </c>
      <c r="C16" s="1" t="s">
        <v>50</v>
      </c>
      <c r="D16" s="1" t="s">
        <v>62</v>
      </c>
      <c r="E16" s="2">
        <v>45698</v>
      </c>
      <c r="F16" s="1">
        <v>1</v>
      </c>
      <c r="G16" s="5">
        <v>521</v>
      </c>
      <c r="H16" s="5">
        <v>521</v>
      </c>
      <c r="I16" s="1" t="s">
        <v>15</v>
      </c>
      <c r="J16" s="1" t="s">
        <v>59</v>
      </c>
      <c r="K16" s="1" t="s">
        <v>32</v>
      </c>
      <c r="L16" s="1">
        <v>0</v>
      </c>
      <c r="M16" s="1" t="s">
        <v>17</v>
      </c>
      <c r="N16" s="1" t="str">
        <f>TEXT(tblbills[[#This Row],[Date]],"mmm")</f>
        <v>Feb</v>
      </c>
      <c r="O16" s="1" t="str">
        <f>TEXT(tblbills[[#This Row],[Date]],"yyyy")</f>
        <v>2025</v>
      </c>
      <c r="Q16"/>
      <c r="R16"/>
      <c r="S16"/>
      <c r="T16"/>
      <c r="U16"/>
      <c r="V16"/>
    </row>
    <row r="17" spans="1:22" x14ac:dyDescent="0.3">
      <c r="A17" s="1" t="str">
        <f t="shared" si="0"/>
        <v>DE1016</v>
      </c>
      <c r="B17" s="1" t="s">
        <v>19</v>
      </c>
      <c r="C17" s="1" t="s">
        <v>72</v>
      </c>
      <c r="D17" s="1" t="s">
        <v>45</v>
      </c>
      <c r="E17" s="2">
        <v>45697</v>
      </c>
      <c r="F17" s="1">
        <v>14</v>
      </c>
      <c r="G17" s="5">
        <v>1855</v>
      </c>
      <c r="H17" s="5">
        <v>25970</v>
      </c>
      <c r="I17" s="1" t="s">
        <v>27</v>
      </c>
      <c r="J17" s="1" t="s">
        <v>26</v>
      </c>
      <c r="K17" s="1" t="s">
        <v>16</v>
      </c>
      <c r="L17" s="1">
        <v>5</v>
      </c>
      <c r="M17" s="1" t="s">
        <v>17</v>
      </c>
      <c r="N17" s="1" t="str">
        <f>TEXT(tblbills[[#This Row],[Date]],"mmm")</f>
        <v>Feb</v>
      </c>
      <c r="O17" s="1" t="str">
        <f>TEXT(tblbills[[#This Row],[Date]],"yyyy")</f>
        <v>2025</v>
      </c>
      <c r="Q17"/>
      <c r="R17"/>
      <c r="S17"/>
      <c r="T17"/>
      <c r="U17"/>
      <c r="V17"/>
    </row>
    <row r="18" spans="1:22" x14ac:dyDescent="0.3">
      <c r="A18" s="1" t="str">
        <f t="shared" si="0"/>
        <v>DE1017</v>
      </c>
      <c r="B18" s="1" t="s">
        <v>19</v>
      </c>
      <c r="C18" s="1" t="s">
        <v>25</v>
      </c>
      <c r="D18" s="1" t="s">
        <v>79</v>
      </c>
      <c r="E18" s="2">
        <v>45697</v>
      </c>
      <c r="F18" s="1">
        <v>7</v>
      </c>
      <c r="G18" s="5">
        <v>3265</v>
      </c>
      <c r="H18" s="5">
        <v>22855</v>
      </c>
      <c r="I18" s="1" t="s">
        <v>15</v>
      </c>
      <c r="J18" s="1" t="s">
        <v>39</v>
      </c>
      <c r="K18" s="1" t="s">
        <v>16</v>
      </c>
      <c r="L18" s="1">
        <v>0</v>
      </c>
      <c r="M18" s="1" t="s">
        <v>33</v>
      </c>
      <c r="N18" s="1" t="str">
        <f>TEXT(tblbills[[#This Row],[Date]],"mmm")</f>
        <v>Feb</v>
      </c>
      <c r="O18" s="1" t="str">
        <f>TEXT(tblbills[[#This Row],[Date]],"yyyy")</f>
        <v>2025</v>
      </c>
      <c r="Q18"/>
      <c r="R18"/>
      <c r="S18"/>
      <c r="T18"/>
      <c r="U18"/>
      <c r="V18"/>
    </row>
    <row r="19" spans="1:22" x14ac:dyDescent="0.3">
      <c r="A19" s="1" t="str">
        <f t="shared" si="0"/>
        <v>DE1018</v>
      </c>
      <c r="B19" s="1" t="s">
        <v>19</v>
      </c>
      <c r="C19" s="1" t="s">
        <v>72</v>
      </c>
      <c r="D19" s="1" t="s">
        <v>76</v>
      </c>
      <c r="E19" s="2">
        <v>45697</v>
      </c>
      <c r="F19" s="1">
        <v>2</v>
      </c>
      <c r="G19" s="5">
        <v>3372</v>
      </c>
      <c r="H19" s="5">
        <v>6744</v>
      </c>
      <c r="I19" s="1" t="s">
        <v>27</v>
      </c>
      <c r="J19" s="1" t="s">
        <v>14</v>
      </c>
      <c r="K19" s="1" t="s">
        <v>28</v>
      </c>
      <c r="L19" s="1">
        <v>0</v>
      </c>
      <c r="M19" s="1" t="s">
        <v>44</v>
      </c>
      <c r="N19" s="1" t="str">
        <f>TEXT(tblbills[[#This Row],[Date]],"mmm")</f>
        <v>Feb</v>
      </c>
      <c r="O19" s="1" t="str">
        <f>TEXT(tblbills[[#This Row],[Date]],"yyyy")</f>
        <v>2025</v>
      </c>
      <c r="Q19"/>
      <c r="R19"/>
      <c r="S19"/>
      <c r="T19"/>
      <c r="U19"/>
      <c r="V19"/>
    </row>
    <row r="20" spans="1:22" x14ac:dyDescent="0.3">
      <c r="A20" s="1" t="str">
        <f t="shared" si="0"/>
        <v>DE1019</v>
      </c>
      <c r="B20" s="1" t="s">
        <v>19</v>
      </c>
      <c r="C20" s="1" t="s">
        <v>72</v>
      </c>
      <c r="D20" s="1" t="s">
        <v>34</v>
      </c>
      <c r="E20" s="2">
        <v>45695</v>
      </c>
      <c r="F20" s="1">
        <v>20</v>
      </c>
      <c r="G20" s="5">
        <v>2459</v>
      </c>
      <c r="H20" s="5">
        <v>49180</v>
      </c>
      <c r="I20" s="1" t="s">
        <v>15</v>
      </c>
      <c r="J20" s="1" t="s">
        <v>47</v>
      </c>
      <c r="K20" s="1" t="s">
        <v>32</v>
      </c>
      <c r="L20" s="1">
        <v>0</v>
      </c>
      <c r="M20" s="1" t="s">
        <v>29</v>
      </c>
      <c r="N20" s="1" t="str">
        <f>TEXT(tblbills[[#This Row],[Date]],"mmm")</f>
        <v>Feb</v>
      </c>
      <c r="O20" s="1" t="str">
        <f>TEXT(tblbills[[#This Row],[Date]],"yyyy")</f>
        <v>2025</v>
      </c>
      <c r="Q20"/>
      <c r="R20"/>
      <c r="S20"/>
      <c r="T20"/>
      <c r="U20"/>
      <c r="V20"/>
    </row>
    <row r="21" spans="1:22" x14ac:dyDescent="0.3">
      <c r="A21" s="1" t="str">
        <f t="shared" si="0"/>
        <v>DE1020</v>
      </c>
      <c r="B21" s="1" t="s">
        <v>19</v>
      </c>
      <c r="C21" s="1" t="s">
        <v>50</v>
      </c>
      <c r="D21" s="1" t="s">
        <v>49</v>
      </c>
      <c r="E21" s="2">
        <v>45689</v>
      </c>
      <c r="F21" s="1">
        <v>4</v>
      </c>
      <c r="G21" s="5">
        <v>4064</v>
      </c>
      <c r="H21" s="5">
        <v>16256</v>
      </c>
      <c r="I21" s="1" t="s">
        <v>22</v>
      </c>
      <c r="J21" s="1" t="s">
        <v>39</v>
      </c>
      <c r="K21" s="1" t="s">
        <v>16</v>
      </c>
      <c r="L21" s="1">
        <v>10</v>
      </c>
      <c r="M21" s="1" t="s">
        <v>29</v>
      </c>
      <c r="N21" s="1" t="str">
        <f>TEXT(tblbills[[#This Row],[Date]],"mmm")</f>
        <v>Feb</v>
      </c>
      <c r="O21" s="1" t="str">
        <f>TEXT(tblbills[[#This Row],[Date]],"yyyy")</f>
        <v>2025</v>
      </c>
      <c r="Q21"/>
      <c r="R21"/>
      <c r="S21"/>
      <c r="T21"/>
      <c r="U21"/>
      <c r="V21"/>
    </row>
    <row r="22" spans="1:22" x14ac:dyDescent="0.3">
      <c r="A22" s="1" t="str">
        <f t="shared" si="0"/>
        <v>DE1021</v>
      </c>
      <c r="B22" s="1" t="s">
        <v>19</v>
      </c>
      <c r="C22" s="1" t="s">
        <v>50</v>
      </c>
      <c r="D22" s="1" t="s">
        <v>67</v>
      </c>
      <c r="E22" s="2">
        <v>45687</v>
      </c>
      <c r="F22" s="1">
        <v>3</v>
      </c>
      <c r="G22" s="5">
        <v>1582</v>
      </c>
      <c r="H22" s="5">
        <v>4746</v>
      </c>
      <c r="I22" s="1" t="s">
        <v>15</v>
      </c>
      <c r="J22" s="1" t="s">
        <v>26</v>
      </c>
      <c r="K22" s="1" t="s">
        <v>32</v>
      </c>
      <c r="L22" s="1">
        <v>0</v>
      </c>
      <c r="M22" s="1" t="s">
        <v>33</v>
      </c>
      <c r="N22" s="1" t="str">
        <f>TEXT(tblbills[[#This Row],[Date]],"mmm")</f>
        <v>Jan</v>
      </c>
      <c r="O22" s="1" t="str">
        <f>TEXT(tblbills[[#This Row],[Date]],"yyyy")</f>
        <v>2025</v>
      </c>
      <c r="Q22"/>
      <c r="R22"/>
      <c r="S22"/>
      <c r="T22"/>
      <c r="U22"/>
      <c r="V22"/>
    </row>
    <row r="23" spans="1:22" x14ac:dyDescent="0.3">
      <c r="A23" s="1" t="str">
        <f t="shared" si="0"/>
        <v>DE1022</v>
      </c>
      <c r="B23" s="1" t="s">
        <v>19</v>
      </c>
      <c r="C23" s="1" t="s">
        <v>48</v>
      </c>
      <c r="D23" s="1" t="s">
        <v>76</v>
      </c>
      <c r="E23" s="2">
        <v>45686</v>
      </c>
      <c r="F23" s="1">
        <v>7</v>
      </c>
      <c r="G23" s="5">
        <v>4307</v>
      </c>
      <c r="H23" s="5">
        <v>30149</v>
      </c>
      <c r="I23" s="1" t="s">
        <v>15</v>
      </c>
      <c r="J23" s="1" t="s">
        <v>14</v>
      </c>
      <c r="K23" s="1" t="s">
        <v>16</v>
      </c>
      <c r="L23" s="1">
        <v>7</v>
      </c>
      <c r="M23" s="1" t="s">
        <v>29</v>
      </c>
      <c r="N23" s="1" t="str">
        <f>TEXT(tblbills[[#This Row],[Date]],"mmm")</f>
        <v>Jan</v>
      </c>
      <c r="O23" s="1" t="str">
        <f>TEXT(tblbills[[#This Row],[Date]],"yyyy")</f>
        <v>2025</v>
      </c>
      <c r="Q23"/>
      <c r="R23"/>
      <c r="S23"/>
      <c r="T23"/>
      <c r="U23"/>
      <c r="V23"/>
    </row>
    <row r="24" spans="1:22" x14ac:dyDescent="0.3">
      <c r="A24" s="1" t="str">
        <f t="shared" si="0"/>
        <v>DE1023</v>
      </c>
      <c r="B24" s="1" t="s">
        <v>19</v>
      </c>
      <c r="C24" s="1" t="s">
        <v>20</v>
      </c>
      <c r="D24" s="1" t="s">
        <v>30</v>
      </c>
      <c r="E24" s="2">
        <v>45685</v>
      </c>
      <c r="F24" s="1">
        <v>3</v>
      </c>
      <c r="G24" s="5">
        <v>1310</v>
      </c>
      <c r="H24" s="5">
        <v>3930</v>
      </c>
      <c r="I24" s="1" t="s">
        <v>15</v>
      </c>
      <c r="J24" s="1" t="s">
        <v>43</v>
      </c>
      <c r="K24" s="1" t="s">
        <v>32</v>
      </c>
      <c r="L24" s="1">
        <v>0</v>
      </c>
      <c r="M24" s="1" t="s">
        <v>29</v>
      </c>
      <c r="N24" s="1" t="str">
        <f>TEXT(tblbills[[#This Row],[Date]],"mmm")</f>
        <v>Jan</v>
      </c>
      <c r="O24" s="1" t="str">
        <f>TEXT(tblbills[[#This Row],[Date]],"yyyy")</f>
        <v>2025</v>
      </c>
      <c r="Q24"/>
      <c r="R24"/>
      <c r="S24"/>
      <c r="T24"/>
      <c r="U24"/>
      <c r="V24"/>
    </row>
    <row r="25" spans="1:22" x14ac:dyDescent="0.3">
      <c r="A25" s="1" t="str">
        <f t="shared" si="0"/>
        <v>DE1024</v>
      </c>
      <c r="B25" s="1" t="s">
        <v>19</v>
      </c>
      <c r="C25" s="1" t="s">
        <v>50</v>
      </c>
      <c r="D25" s="1" t="s">
        <v>77</v>
      </c>
      <c r="E25" s="2">
        <v>45685</v>
      </c>
      <c r="F25" s="1">
        <v>4</v>
      </c>
      <c r="G25" s="5">
        <v>2035</v>
      </c>
      <c r="H25" s="5">
        <v>8140</v>
      </c>
      <c r="I25" s="1" t="s">
        <v>22</v>
      </c>
      <c r="J25" s="1" t="s">
        <v>21</v>
      </c>
      <c r="K25" s="1" t="s">
        <v>16</v>
      </c>
      <c r="L25" s="1">
        <v>0</v>
      </c>
      <c r="M25" s="1" t="s">
        <v>33</v>
      </c>
      <c r="N25" s="1" t="str">
        <f>TEXT(tblbills[[#This Row],[Date]],"mmm")</f>
        <v>Jan</v>
      </c>
      <c r="O25" s="1" t="str">
        <f>TEXT(tblbills[[#This Row],[Date]],"yyyy")</f>
        <v>2025</v>
      </c>
      <c r="Q25"/>
      <c r="R25"/>
      <c r="S25"/>
      <c r="T25"/>
      <c r="U25"/>
      <c r="V25"/>
    </row>
    <row r="26" spans="1:22" x14ac:dyDescent="0.3">
      <c r="A26" s="1" t="str">
        <f t="shared" si="0"/>
        <v>DE1025</v>
      </c>
      <c r="B26" s="1" t="s">
        <v>19</v>
      </c>
      <c r="C26" s="1" t="s">
        <v>50</v>
      </c>
      <c r="D26" s="1" t="s">
        <v>57</v>
      </c>
      <c r="E26" s="2">
        <v>45683</v>
      </c>
      <c r="F26" s="1">
        <v>11</v>
      </c>
      <c r="G26" s="5">
        <v>1063</v>
      </c>
      <c r="H26" s="5">
        <v>11693</v>
      </c>
      <c r="I26" s="1" t="s">
        <v>15</v>
      </c>
      <c r="J26" s="1" t="s">
        <v>39</v>
      </c>
      <c r="K26" s="1" t="s">
        <v>16</v>
      </c>
      <c r="L26" s="1">
        <v>7</v>
      </c>
      <c r="M26" s="1" t="s">
        <v>17</v>
      </c>
      <c r="N26" s="1" t="str">
        <f>TEXT(tblbills[[#This Row],[Date]],"mmm")</f>
        <v>Jan</v>
      </c>
      <c r="O26" s="1" t="str">
        <f>TEXT(tblbills[[#This Row],[Date]],"yyyy")</f>
        <v>2025</v>
      </c>
      <c r="Q26"/>
      <c r="R26"/>
      <c r="S26"/>
      <c r="T26"/>
      <c r="U26"/>
      <c r="V26"/>
    </row>
    <row r="27" spans="1:22" x14ac:dyDescent="0.3">
      <c r="A27" s="1" t="str">
        <f t="shared" si="0"/>
        <v>DE1026</v>
      </c>
      <c r="B27" s="1" t="s">
        <v>19</v>
      </c>
      <c r="C27" s="1" t="s">
        <v>20</v>
      </c>
      <c r="D27" s="1" t="s">
        <v>57</v>
      </c>
      <c r="E27" s="2">
        <v>45679</v>
      </c>
      <c r="F27" s="1">
        <v>14</v>
      </c>
      <c r="G27" s="5">
        <v>273</v>
      </c>
      <c r="H27" s="5">
        <v>3822</v>
      </c>
      <c r="I27" s="1" t="s">
        <v>27</v>
      </c>
      <c r="J27" s="1" t="s">
        <v>59</v>
      </c>
      <c r="K27" s="1" t="s">
        <v>32</v>
      </c>
      <c r="L27" s="1">
        <v>5</v>
      </c>
      <c r="M27" s="1" t="s">
        <v>33</v>
      </c>
      <c r="N27" s="1" t="str">
        <f>TEXT(tblbills[[#This Row],[Date]],"mmm")</f>
        <v>Jan</v>
      </c>
      <c r="O27" s="1" t="str">
        <f>TEXT(tblbills[[#This Row],[Date]],"yyyy")</f>
        <v>2025</v>
      </c>
      <c r="Q27"/>
      <c r="R27"/>
      <c r="S27"/>
      <c r="T27"/>
      <c r="U27"/>
      <c r="V27"/>
    </row>
    <row r="28" spans="1:22" x14ac:dyDescent="0.3">
      <c r="A28" s="1" t="str">
        <f t="shared" si="0"/>
        <v>DE1027</v>
      </c>
      <c r="B28" s="1" t="s">
        <v>19</v>
      </c>
      <c r="C28" s="1" t="s">
        <v>20</v>
      </c>
      <c r="D28" s="1" t="s">
        <v>65</v>
      </c>
      <c r="E28" s="2">
        <v>45679</v>
      </c>
      <c r="F28" s="1">
        <v>12</v>
      </c>
      <c r="G28" s="5">
        <v>3446</v>
      </c>
      <c r="H28" s="5">
        <v>41352</v>
      </c>
      <c r="I28" s="1" t="s">
        <v>22</v>
      </c>
      <c r="J28" s="1" t="s">
        <v>39</v>
      </c>
      <c r="K28" s="1" t="s">
        <v>32</v>
      </c>
      <c r="L28" s="1">
        <v>7</v>
      </c>
      <c r="M28" s="1" t="s">
        <v>29</v>
      </c>
      <c r="N28" s="1" t="str">
        <f>TEXT(tblbills[[#This Row],[Date]],"mmm")</f>
        <v>Jan</v>
      </c>
      <c r="O28" s="1" t="str">
        <f>TEXT(tblbills[[#This Row],[Date]],"yyyy")</f>
        <v>2025</v>
      </c>
      <c r="Q28"/>
      <c r="R28"/>
      <c r="S28"/>
      <c r="T28"/>
      <c r="U28"/>
      <c r="V28"/>
    </row>
    <row r="29" spans="1:22" x14ac:dyDescent="0.3">
      <c r="A29" s="1" t="str">
        <f t="shared" si="0"/>
        <v>DE1028</v>
      </c>
      <c r="B29" s="1" t="s">
        <v>19</v>
      </c>
      <c r="C29" s="1" t="s">
        <v>50</v>
      </c>
      <c r="D29" s="1" t="s">
        <v>57</v>
      </c>
      <c r="E29" s="2">
        <v>45676</v>
      </c>
      <c r="F29" s="1">
        <v>7</v>
      </c>
      <c r="G29" s="5">
        <v>1120</v>
      </c>
      <c r="H29" s="5">
        <v>7840</v>
      </c>
      <c r="I29" s="1" t="s">
        <v>15</v>
      </c>
      <c r="J29" s="1" t="s">
        <v>14</v>
      </c>
      <c r="K29" s="1" t="s">
        <v>16</v>
      </c>
      <c r="L29" s="1">
        <v>5</v>
      </c>
      <c r="M29" s="1" t="s">
        <v>29</v>
      </c>
      <c r="N29" s="1" t="str">
        <f>TEXT(tblbills[[#This Row],[Date]],"mmm")</f>
        <v>Jan</v>
      </c>
      <c r="O29" s="1" t="str">
        <f>TEXT(tblbills[[#This Row],[Date]],"yyyy")</f>
        <v>2025</v>
      </c>
      <c r="Q29"/>
      <c r="R29"/>
      <c r="S29"/>
      <c r="T29"/>
      <c r="U29"/>
      <c r="V29"/>
    </row>
    <row r="30" spans="1:22" x14ac:dyDescent="0.3">
      <c r="A30" s="1" t="str">
        <f t="shared" si="0"/>
        <v>DE1029</v>
      </c>
      <c r="B30" s="1" t="s">
        <v>19</v>
      </c>
      <c r="C30" s="1" t="s">
        <v>72</v>
      </c>
      <c r="D30" s="1" t="s">
        <v>57</v>
      </c>
      <c r="E30" s="2">
        <v>45676</v>
      </c>
      <c r="F30" s="1">
        <v>13</v>
      </c>
      <c r="G30" s="5">
        <v>2556</v>
      </c>
      <c r="H30" s="5">
        <v>33228</v>
      </c>
      <c r="I30" s="1" t="s">
        <v>15</v>
      </c>
      <c r="J30" s="1" t="s">
        <v>14</v>
      </c>
      <c r="K30" s="1" t="s">
        <v>32</v>
      </c>
      <c r="L30" s="1">
        <v>2</v>
      </c>
      <c r="M30" s="1" t="s">
        <v>33</v>
      </c>
      <c r="N30" s="1" t="str">
        <f>TEXT(tblbills[[#This Row],[Date]],"mmm")</f>
        <v>Jan</v>
      </c>
      <c r="O30" s="1" t="str">
        <f>TEXT(tblbills[[#This Row],[Date]],"yyyy")</f>
        <v>2025</v>
      </c>
      <c r="Q30"/>
      <c r="R30"/>
      <c r="S30"/>
      <c r="T30"/>
      <c r="U30"/>
      <c r="V30"/>
    </row>
    <row r="31" spans="1:22" x14ac:dyDescent="0.3">
      <c r="A31" s="1" t="str">
        <f t="shared" si="0"/>
        <v>DE1030</v>
      </c>
      <c r="B31" s="1" t="s">
        <v>19</v>
      </c>
      <c r="C31" s="1" t="s">
        <v>50</v>
      </c>
      <c r="D31" s="1" t="s">
        <v>77</v>
      </c>
      <c r="E31" s="2">
        <v>45675</v>
      </c>
      <c r="F31" s="1">
        <v>15</v>
      </c>
      <c r="G31" s="5">
        <v>4359</v>
      </c>
      <c r="H31" s="5">
        <v>65385</v>
      </c>
      <c r="I31" s="1" t="s">
        <v>15</v>
      </c>
      <c r="J31" s="1" t="s">
        <v>39</v>
      </c>
      <c r="K31" s="1" t="s">
        <v>32</v>
      </c>
      <c r="L31" s="1">
        <v>0</v>
      </c>
      <c r="M31" s="1" t="s">
        <v>17</v>
      </c>
      <c r="N31" s="1" t="str">
        <f>TEXT(tblbills[[#This Row],[Date]],"mmm")</f>
        <v>Jan</v>
      </c>
      <c r="O31" s="1" t="str">
        <f>TEXT(tblbills[[#This Row],[Date]],"yyyy")</f>
        <v>2025</v>
      </c>
      <c r="Q31"/>
      <c r="R31"/>
      <c r="S31"/>
      <c r="T31"/>
      <c r="U31"/>
      <c r="V31"/>
    </row>
    <row r="32" spans="1:22" x14ac:dyDescent="0.3">
      <c r="A32" s="1" t="str">
        <f t="shared" si="0"/>
        <v>DE1031</v>
      </c>
      <c r="B32" s="1" t="s">
        <v>19</v>
      </c>
      <c r="C32" s="1" t="s">
        <v>48</v>
      </c>
      <c r="D32" s="1" t="s">
        <v>65</v>
      </c>
      <c r="E32" s="2">
        <v>45674</v>
      </c>
      <c r="F32" s="1">
        <v>1</v>
      </c>
      <c r="G32" s="5">
        <v>1736</v>
      </c>
      <c r="H32" s="5">
        <v>1736</v>
      </c>
      <c r="I32" s="1" t="s">
        <v>27</v>
      </c>
      <c r="J32" s="1" t="s">
        <v>43</v>
      </c>
      <c r="K32" s="1" t="s">
        <v>16</v>
      </c>
      <c r="L32" s="1">
        <v>0</v>
      </c>
      <c r="M32" s="1" t="s">
        <v>44</v>
      </c>
      <c r="N32" s="1" t="str">
        <f>TEXT(tblbills[[#This Row],[Date]],"mmm")</f>
        <v>Jan</v>
      </c>
      <c r="O32" s="1" t="str">
        <f>TEXT(tblbills[[#This Row],[Date]],"yyyy")</f>
        <v>2025</v>
      </c>
      <c r="Q32"/>
      <c r="R32"/>
      <c r="S32"/>
      <c r="T32"/>
      <c r="U32"/>
      <c r="V32"/>
    </row>
    <row r="33" spans="1:22" x14ac:dyDescent="0.3">
      <c r="A33" s="1" t="str">
        <f t="shared" si="0"/>
        <v>DE1032</v>
      </c>
      <c r="B33" s="1" t="s">
        <v>19</v>
      </c>
      <c r="C33" s="1" t="s">
        <v>48</v>
      </c>
      <c r="D33" s="1" t="s">
        <v>62</v>
      </c>
      <c r="E33" s="2">
        <v>45663</v>
      </c>
      <c r="F33" s="1">
        <v>15</v>
      </c>
      <c r="G33" s="5">
        <v>2555</v>
      </c>
      <c r="H33" s="5">
        <v>38325</v>
      </c>
      <c r="I33" s="1" t="s">
        <v>22</v>
      </c>
      <c r="J33" s="1" t="s">
        <v>21</v>
      </c>
      <c r="K33" s="1" t="s">
        <v>16</v>
      </c>
      <c r="L33" s="1">
        <v>7</v>
      </c>
      <c r="M33" s="1" t="s">
        <v>23</v>
      </c>
      <c r="N33" s="1" t="str">
        <f>TEXT(tblbills[[#This Row],[Date]],"mmm")</f>
        <v>Jan</v>
      </c>
      <c r="O33" s="1" t="str">
        <f>TEXT(tblbills[[#This Row],[Date]],"yyyy")</f>
        <v>2025</v>
      </c>
      <c r="Q33"/>
      <c r="R33"/>
      <c r="S33"/>
      <c r="T33"/>
      <c r="U33"/>
      <c r="V33"/>
    </row>
    <row r="34" spans="1:22" x14ac:dyDescent="0.3">
      <c r="A34" s="1" t="str">
        <f t="shared" si="0"/>
        <v>DE1033</v>
      </c>
      <c r="B34" s="1" t="s">
        <v>19</v>
      </c>
      <c r="C34" s="1" t="s">
        <v>50</v>
      </c>
      <c r="D34" s="1" t="s">
        <v>11</v>
      </c>
      <c r="E34" s="2">
        <v>45661</v>
      </c>
      <c r="F34" s="1">
        <v>19</v>
      </c>
      <c r="G34" s="5">
        <v>920</v>
      </c>
      <c r="H34" s="5">
        <v>17480</v>
      </c>
      <c r="I34" s="1" t="s">
        <v>27</v>
      </c>
      <c r="J34" s="1" t="s">
        <v>26</v>
      </c>
      <c r="K34" s="1" t="s">
        <v>28</v>
      </c>
      <c r="L34" s="1">
        <v>0</v>
      </c>
      <c r="M34" s="1" t="s">
        <v>44</v>
      </c>
      <c r="N34" s="1" t="str">
        <f>TEXT(tblbills[[#This Row],[Date]],"mmm")</f>
        <v>Jan</v>
      </c>
      <c r="O34" s="1" t="str">
        <f>TEXT(tblbills[[#This Row],[Date]],"yyyy")</f>
        <v>2025</v>
      </c>
      <c r="Q34"/>
      <c r="R34"/>
      <c r="S34"/>
      <c r="T34"/>
      <c r="U34"/>
      <c r="V34"/>
    </row>
    <row r="35" spans="1:22" x14ac:dyDescent="0.3">
      <c r="A35" s="1" t="str">
        <f t="shared" si="0"/>
        <v>DE1034</v>
      </c>
      <c r="B35" s="1" t="s">
        <v>19</v>
      </c>
      <c r="C35" s="1" t="s">
        <v>20</v>
      </c>
      <c r="D35" s="1" t="s">
        <v>74</v>
      </c>
      <c r="E35" s="2">
        <v>45658</v>
      </c>
      <c r="F35" s="1">
        <v>20</v>
      </c>
      <c r="G35" s="5">
        <v>4400</v>
      </c>
      <c r="H35" s="5">
        <v>88000</v>
      </c>
      <c r="I35" s="1" t="s">
        <v>15</v>
      </c>
      <c r="J35" s="1" t="s">
        <v>43</v>
      </c>
      <c r="K35" s="1" t="s">
        <v>16</v>
      </c>
      <c r="L35" s="1">
        <v>5</v>
      </c>
      <c r="M35" s="1" t="s">
        <v>29</v>
      </c>
      <c r="N35" s="1" t="str">
        <f>TEXT(tblbills[[#This Row],[Date]],"mmm")</f>
        <v>Jan</v>
      </c>
      <c r="O35" s="1" t="str">
        <f>TEXT(tblbills[[#This Row],[Date]],"yyyy")</f>
        <v>2025</v>
      </c>
      <c r="Q35"/>
      <c r="R35"/>
      <c r="S35"/>
      <c r="T35"/>
      <c r="U35"/>
      <c r="V35"/>
    </row>
    <row r="36" spans="1:22" x14ac:dyDescent="0.3">
      <c r="A36" s="1" t="str">
        <f t="shared" si="0"/>
        <v>DE1035</v>
      </c>
      <c r="B36" s="1" t="s">
        <v>19</v>
      </c>
      <c r="C36" s="1" t="s">
        <v>72</v>
      </c>
      <c r="D36" s="1" t="s">
        <v>56</v>
      </c>
      <c r="E36" s="2">
        <v>45656</v>
      </c>
      <c r="F36" s="1">
        <v>11</v>
      </c>
      <c r="G36" s="5">
        <v>1002</v>
      </c>
      <c r="H36" s="5">
        <v>11022</v>
      </c>
      <c r="I36" s="1" t="s">
        <v>22</v>
      </c>
      <c r="J36" s="1" t="s">
        <v>14</v>
      </c>
      <c r="K36" s="1" t="s">
        <v>28</v>
      </c>
      <c r="L36" s="1">
        <v>10</v>
      </c>
      <c r="M36" s="1" t="s">
        <v>33</v>
      </c>
      <c r="N36" s="1" t="str">
        <f>TEXT(tblbills[[#This Row],[Date]],"mmm")</f>
        <v>Dec</v>
      </c>
      <c r="O36" s="1" t="str">
        <f>TEXT(tblbills[[#This Row],[Date]],"yyyy")</f>
        <v>2024</v>
      </c>
      <c r="Q36"/>
      <c r="R36"/>
      <c r="S36"/>
      <c r="T36"/>
      <c r="U36"/>
      <c r="V36"/>
    </row>
    <row r="37" spans="1:22" x14ac:dyDescent="0.3">
      <c r="A37" s="1" t="str">
        <f t="shared" si="0"/>
        <v>DE1036</v>
      </c>
      <c r="B37" s="1" t="s">
        <v>19</v>
      </c>
      <c r="C37" s="1" t="s">
        <v>48</v>
      </c>
      <c r="D37" s="1" t="s">
        <v>56</v>
      </c>
      <c r="E37" s="2">
        <v>45656</v>
      </c>
      <c r="F37" s="1">
        <v>11</v>
      </c>
      <c r="G37" s="5">
        <v>3936</v>
      </c>
      <c r="H37" s="5">
        <v>43296</v>
      </c>
      <c r="I37" s="1" t="s">
        <v>27</v>
      </c>
      <c r="J37" s="1" t="s">
        <v>39</v>
      </c>
      <c r="K37" s="1" t="s">
        <v>16</v>
      </c>
      <c r="L37" s="1">
        <v>7</v>
      </c>
      <c r="M37" s="1" t="s">
        <v>17</v>
      </c>
      <c r="N37" s="1" t="str">
        <f>TEXT(tblbills[[#This Row],[Date]],"mmm")</f>
        <v>Dec</v>
      </c>
      <c r="O37" s="1" t="str">
        <f>TEXT(tblbills[[#This Row],[Date]],"yyyy")</f>
        <v>2024</v>
      </c>
      <c r="Q37"/>
      <c r="R37"/>
      <c r="S37"/>
      <c r="T37"/>
      <c r="U37"/>
      <c r="V37"/>
    </row>
    <row r="38" spans="1:22" x14ac:dyDescent="0.3">
      <c r="A38" s="1" t="str">
        <f t="shared" si="0"/>
        <v>DE1037</v>
      </c>
      <c r="B38" s="1" t="s">
        <v>19</v>
      </c>
      <c r="C38" s="1" t="s">
        <v>25</v>
      </c>
      <c r="D38" s="1" t="s">
        <v>74</v>
      </c>
      <c r="E38" s="2">
        <v>45652</v>
      </c>
      <c r="F38" s="1">
        <v>18</v>
      </c>
      <c r="G38" s="5">
        <v>4317</v>
      </c>
      <c r="H38" s="5">
        <v>77706</v>
      </c>
      <c r="I38" s="1" t="s">
        <v>15</v>
      </c>
      <c r="J38" s="1" t="s">
        <v>47</v>
      </c>
      <c r="K38" s="1" t="s">
        <v>16</v>
      </c>
      <c r="L38" s="1">
        <v>0</v>
      </c>
      <c r="M38" s="1" t="s">
        <v>33</v>
      </c>
      <c r="N38" s="1" t="str">
        <f>TEXT(tblbills[[#This Row],[Date]],"mmm")</f>
        <v>Dec</v>
      </c>
      <c r="O38" s="1" t="str">
        <f>TEXT(tblbills[[#This Row],[Date]],"yyyy")</f>
        <v>2024</v>
      </c>
      <c r="Q38"/>
      <c r="R38"/>
      <c r="S38"/>
      <c r="T38"/>
      <c r="U38"/>
      <c r="V38"/>
    </row>
    <row r="39" spans="1:22" x14ac:dyDescent="0.3">
      <c r="A39" s="1" t="str">
        <f t="shared" si="0"/>
        <v>DE1038</v>
      </c>
      <c r="B39" s="1" t="s">
        <v>19</v>
      </c>
      <c r="C39" s="1" t="s">
        <v>72</v>
      </c>
      <c r="D39" s="1" t="s">
        <v>36</v>
      </c>
      <c r="E39" s="2">
        <v>45650</v>
      </c>
      <c r="F39" s="1">
        <v>9</v>
      </c>
      <c r="G39" s="5">
        <v>3116</v>
      </c>
      <c r="H39" s="5">
        <v>28044</v>
      </c>
      <c r="I39" s="1" t="s">
        <v>27</v>
      </c>
      <c r="J39" s="1" t="s">
        <v>47</v>
      </c>
      <c r="K39" s="1" t="s">
        <v>16</v>
      </c>
      <c r="L39" s="1">
        <v>5</v>
      </c>
      <c r="M39" s="1" t="s">
        <v>44</v>
      </c>
      <c r="N39" s="1" t="str">
        <f>TEXT(tblbills[[#This Row],[Date]],"mmm")</f>
        <v>Dec</v>
      </c>
      <c r="O39" s="1" t="str">
        <f>TEXT(tblbills[[#This Row],[Date]],"yyyy")</f>
        <v>2024</v>
      </c>
      <c r="Q39"/>
      <c r="R39"/>
      <c r="S39"/>
      <c r="T39"/>
      <c r="U39"/>
      <c r="V39"/>
    </row>
    <row r="40" spans="1:22" x14ac:dyDescent="0.3">
      <c r="A40" s="1" t="str">
        <f t="shared" si="0"/>
        <v>DE1039</v>
      </c>
      <c r="B40" s="1" t="s">
        <v>19</v>
      </c>
      <c r="C40" s="1" t="s">
        <v>72</v>
      </c>
      <c r="D40" s="1" t="s">
        <v>18</v>
      </c>
      <c r="E40" s="2">
        <v>45647</v>
      </c>
      <c r="F40" s="1">
        <v>20</v>
      </c>
      <c r="G40" s="5">
        <v>1795</v>
      </c>
      <c r="H40" s="5">
        <v>35900</v>
      </c>
      <c r="I40" s="1" t="s">
        <v>27</v>
      </c>
      <c r="J40" s="1" t="s">
        <v>21</v>
      </c>
      <c r="K40" s="1" t="s">
        <v>32</v>
      </c>
      <c r="L40" s="1">
        <v>2</v>
      </c>
      <c r="M40" s="1" t="s">
        <v>44</v>
      </c>
      <c r="N40" s="1" t="str">
        <f>TEXT(tblbills[[#This Row],[Date]],"mmm")</f>
        <v>Dec</v>
      </c>
      <c r="O40" s="1" t="str">
        <f>TEXT(tblbills[[#This Row],[Date]],"yyyy")</f>
        <v>2024</v>
      </c>
      <c r="Q40"/>
      <c r="R40"/>
      <c r="S40"/>
      <c r="T40"/>
      <c r="U40"/>
      <c r="V40"/>
    </row>
    <row r="41" spans="1:22" x14ac:dyDescent="0.3">
      <c r="A41" s="1" t="str">
        <f t="shared" si="0"/>
        <v>DE1040</v>
      </c>
      <c r="B41" s="1" t="s">
        <v>19</v>
      </c>
      <c r="C41" s="1" t="s">
        <v>25</v>
      </c>
      <c r="D41" s="1" t="s">
        <v>65</v>
      </c>
      <c r="E41" s="2">
        <v>45641</v>
      </c>
      <c r="F41" s="1">
        <v>17</v>
      </c>
      <c r="G41" s="5">
        <v>1067</v>
      </c>
      <c r="H41" s="5">
        <v>18139</v>
      </c>
      <c r="I41" s="1" t="s">
        <v>27</v>
      </c>
      <c r="J41" s="1" t="s">
        <v>39</v>
      </c>
      <c r="K41" s="1" t="s">
        <v>16</v>
      </c>
      <c r="L41" s="1">
        <v>2</v>
      </c>
      <c r="M41" s="1" t="s">
        <v>17</v>
      </c>
      <c r="N41" s="1" t="str">
        <f>TEXT(tblbills[[#This Row],[Date]],"mmm")</f>
        <v>Dec</v>
      </c>
      <c r="O41" s="1" t="str">
        <f>TEXT(tblbills[[#This Row],[Date]],"yyyy")</f>
        <v>2024</v>
      </c>
      <c r="Q41"/>
      <c r="R41"/>
      <c r="S41"/>
      <c r="T41"/>
      <c r="U41"/>
      <c r="V41"/>
    </row>
    <row r="42" spans="1:22" x14ac:dyDescent="0.3">
      <c r="A42" s="1" t="str">
        <f t="shared" si="0"/>
        <v>DE1041</v>
      </c>
      <c r="B42" s="1" t="s">
        <v>19</v>
      </c>
      <c r="C42" s="1" t="s">
        <v>72</v>
      </c>
      <c r="D42" s="1" t="s">
        <v>67</v>
      </c>
      <c r="E42" s="2">
        <v>45638</v>
      </c>
      <c r="F42" s="1">
        <v>2</v>
      </c>
      <c r="G42" s="5">
        <v>2251</v>
      </c>
      <c r="H42" s="5">
        <v>4502</v>
      </c>
      <c r="I42" s="1" t="s">
        <v>95</v>
      </c>
      <c r="J42" s="1" t="s">
        <v>39</v>
      </c>
      <c r="K42" s="1" t="s">
        <v>32</v>
      </c>
      <c r="L42" s="1">
        <v>10</v>
      </c>
      <c r="M42" s="1" t="s">
        <v>44</v>
      </c>
      <c r="N42" s="1" t="str">
        <f>TEXT(tblbills[[#This Row],[Date]],"mmm")</f>
        <v>Dec</v>
      </c>
      <c r="O42" s="1" t="str">
        <f>TEXT(tblbills[[#This Row],[Date]],"yyyy")</f>
        <v>2024</v>
      </c>
      <c r="Q42"/>
      <c r="R42"/>
      <c r="S42"/>
      <c r="T42"/>
      <c r="U42"/>
      <c r="V42"/>
    </row>
    <row r="43" spans="1:22" x14ac:dyDescent="0.3">
      <c r="A43" s="1" t="str">
        <f t="shared" si="0"/>
        <v>DE1042</v>
      </c>
      <c r="B43" s="1" t="s">
        <v>19</v>
      </c>
      <c r="C43" s="1" t="s">
        <v>72</v>
      </c>
      <c r="D43" s="1" t="s">
        <v>36</v>
      </c>
      <c r="E43" s="2">
        <v>45637</v>
      </c>
      <c r="F43" s="1">
        <v>14</v>
      </c>
      <c r="G43" s="5">
        <v>4159</v>
      </c>
      <c r="H43" s="5">
        <v>58226</v>
      </c>
      <c r="I43" s="1" t="s">
        <v>27</v>
      </c>
      <c r="J43" s="1" t="s">
        <v>21</v>
      </c>
      <c r="K43" s="1" t="s">
        <v>32</v>
      </c>
      <c r="L43" s="1">
        <v>10</v>
      </c>
      <c r="M43" s="1" t="s">
        <v>23</v>
      </c>
      <c r="N43" s="1" t="str">
        <f>TEXT(tblbills[[#This Row],[Date]],"mmm")</f>
        <v>Dec</v>
      </c>
      <c r="O43" s="1" t="str">
        <f>TEXT(tblbills[[#This Row],[Date]],"yyyy")</f>
        <v>2024</v>
      </c>
      <c r="Q43"/>
      <c r="R43"/>
      <c r="S43"/>
      <c r="T43"/>
      <c r="U43"/>
      <c r="V43"/>
    </row>
    <row r="44" spans="1:22" x14ac:dyDescent="0.3">
      <c r="A44" s="1" t="str">
        <f t="shared" si="0"/>
        <v>DE1043</v>
      </c>
      <c r="B44" s="1" t="s">
        <v>19</v>
      </c>
      <c r="C44" s="1" t="s">
        <v>48</v>
      </c>
      <c r="D44" s="1" t="s">
        <v>62</v>
      </c>
      <c r="E44" s="2">
        <v>45633</v>
      </c>
      <c r="F44" s="1">
        <v>11</v>
      </c>
      <c r="G44" s="5">
        <v>1409</v>
      </c>
      <c r="H44" s="5">
        <v>15499</v>
      </c>
      <c r="I44" s="1" t="s">
        <v>27</v>
      </c>
      <c r="J44" s="1" t="s">
        <v>14</v>
      </c>
      <c r="K44" s="1" t="s">
        <v>16</v>
      </c>
      <c r="L44" s="1">
        <v>0</v>
      </c>
      <c r="M44" s="1" t="s">
        <v>23</v>
      </c>
      <c r="N44" s="1" t="str">
        <f>TEXT(tblbills[[#This Row],[Date]],"mmm")</f>
        <v>Dec</v>
      </c>
      <c r="O44" s="1" t="str">
        <f>TEXT(tblbills[[#This Row],[Date]],"yyyy")</f>
        <v>2024</v>
      </c>
      <c r="Q44"/>
      <c r="R44"/>
      <c r="S44"/>
      <c r="T44"/>
      <c r="U44"/>
      <c r="V44"/>
    </row>
    <row r="45" spans="1:22" x14ac:dyDescent="0.3">
      <c r="A45" s="1" t="str">
        <f t="shared" si="0"/>
        <v>DE1044</v>
      </c>
      <c r="B45" s="1" t="s">
        <v>19</v>
      </c>
      <c r="C45" s="1" t="s">
        <v>50</v>
      </c>
      <c r="D45" s="1" t="s">
        <v>30</v>
      </c>
      <c r="E45" s="2">
        <v>45624</v>
      </c>
      <c r="F45" s="1">
        <v>15</v>
      </c>
      <c r="G45" s="5">
        <v>466</v>
      </c>
      <c r="H45" s="5">
        <v>6990</v>
      </c>
      <c r="I45" s="1" t="s">
        <v>27</v>
      </c>
      <c r="J45" s="1" t="s">
        <v>43</v>
      </c>
      <c r="K45" s="1" t="s">
        <v>28</v>
      </c>
      <c r="L45" s="1">
        <v>0</v>
      </c>
      <c r="M45" s="1" t="s">
        <v>44</v>
      </c>
      <c r="N45" s="1" t="str">
        <f>TEXT(tblbills[[#This Row],[Date]],"mmm")</f>
        <v>Nov</v>
      </c>
      <c r="O45" s="1" t="str">
        <f>TEXT(tblbills[[#This Row],[Date]],"yyyy")</f>
        <v>2024</v>
      </c>
      <c r="Q45"/>
      <c r="R45"/>
      <c r="S45"/>
      <c r="T45"/>
      <c r="U45"/>
      <c r="V45"/>
    </row>
    <row r="46" spans="1:22" x14ac:dyDescent="0.3">
      <c r="A46" s="1" t="str">
        <f t="shared" si="0"/>
        <v>DE1045</v>
      </c>
      <c r="B46" s="1" t="s">
        <v>19</v>
      </c>
      <c r="C46" s="1" t="s">
        <v>48</v>
      </c>
      <c r="D46" s="1" t="s">
        <v>76</v>
      </c>
      <c r="E46" s="2">
        <v>45624</v>
      </c>
      <c r="F46" s="1">
        <v>15</v>
      </c>
      <c r="G46" s="5">
        <v>1498</v>
      </c>
      <c r="H46" s="5">
        <v>22470</v>
      </c>
      <c r="I46" s="1" t="s">
        <v>22</v>
      </c>
      <c r="J46" s="1" t="s">
        <v>39</v>
      </c>
      <c r="K46" s="1" t="s">
        <v>32</v>
      </c>
      <c r="L46" s="1">
        <v>0</v>
      </c>
      <c r="M46" s="1" t="s">
        <v>17</v>
      </c>
      <c r="N46" s="1" t="str">
        <f>TEXT(tblbills[[#This Row],[Date]],"mmm")</f>
        <v>Nov</v>
      </c>
      <c r="O46" s="1" t="str">
        <f>TEXT(tblbills[[#This Row],[Date]],"yyyy")</f>
        <v>2024</v>
      </c>
      <c r="Q46"/>
      <c r="R46"/>
      <c r="S46"/>
      <c r="T46"/>
      <c r="U46"/>
      <c r="V46"/>
    </row>
    <row r="47" spans="1:22" x14ac:dyDescent="0.3">
      <c r="A47" s="1" t="str">
        <f t="shared" si="0"/>
        <v>DE1046</v>
      </c>
      <c r="B47" s="1" t="s">
        <v>19</v>
      </c>
      <c r="C47" s="1" t="s">
        <v>72</v>
      </c>
      <c r="D47" s="1" t="s">
        <v>11</v>
      </c>
      <c r="E47" s="2">
        <v>45621</v>
      </c>
      <c r="F47" s="1">
        <v>8</v>
      </c>
      <c r="G47" s="5">
        <v>3893</v>
      </c>
      <c r="H47" s="5">
        <v>31144</v>
      </c>
      <c r="I47" s="1" t="s">
        <v>15</v>
      </c>
      <c r="J47" s="1" t="s">
        <v>26</v>
      </c>
      <c r="K47" s="1" t="s">
        <v>28</v>
      </c>
      <c r="L47" s="1">
        <v>0</v>
      </c>
      <c r="M47" s="1" t="s">
        <v>17</v>
      </c>
      <c r="N47" s="1" t="str">
        <f>TEXT(tblbills[[#This Row],[Date]],"mmm")</f>
        <v>Nov</v>
      </c>
      <c r="O47" s="1" t="str">
        <f>TEXT(tblbills[[#This Row],[Date]],"yyyy")</f>
        <v>2024</v>
      </c>
      <c r="Q47"/>
      <c r="R47"/>
      <c r="S47"/>
      <c r="T47"/>
      <c r="U47"/>
      <c r="V47"/>
    </row>
    <row r="48" spans="1:22" x14ac:dyDescent="0.3">
      <c r="A48" s="1" t="str">
        <f t="shared" si="0"/>
        <v>DE1047</v>
      </c>
      <c r="B48" s="1" t="s">
        <v>19</v>
      </c>
      <c r="C48" s="1" t="s">
        <v>50</v>
      </c>
      <c r="D48" s="1" t="s">
        <v>40</v>
      </c>
      <c r="E48" s="2">
        <v>45612</v>
      </c>
      <c r="F48" s="1">
        <v>20</v>
      </c>
      <c r="G48" s="5">
        <v>3232</v>
      </c>
      <c r="H48" s="5">
        <v>64640</v>
      </c>
      <c r="I48" s="1" t="s">
        <v>27</v>
      </c>
      <c r="J48" s="1" t="s">
        <v>26</v>
      </c>
      <c r="K48" s="1" t="s">
        <v>16</v>
      </c>
      <c r="L48" s="1">
        <v>0</v>
      </c>
      <c r="M48" s="1" t="s">
        <v>44</v>
      </c>
      <c r="N48" s="1" t="str">
        <f>TEXT(tblbills[[#This Row],[Date]],"mmm")</f>
        <v>Nov</v>
      </c>
      <c r="O48" s="1" t="str">
        <f>TEXT(tblbills[[#This Row],[Date]],"yyyy")</f>
        <v>2024</v>
      </c>
      <c r="Q48"/>
      <c r="R48"/>
      <c r="S48"/>
      <c r="T48"/>
      <c r="U48"/>
      <c r="V48"/>
    </row>
    <row r="49" spans="1:22" x14ac:dyDescent="0.3">
      <c r="A49" s="1" t="str">
        <f t="shared" si="0"/>
        <v>DE1048</v>
      </c>
      <c r="B49" s="1" t="s">
        <v>19</v>
      </c>
      <c r="C49" s="1" t="s">
        <v>50</v>
      </c>
      <c r="D49" s="1" t="s">
        <v>74</v>
      </c>
      <c r="E49" s="2">
        <v>45608</v>
      </c>
      <c r="F49" s="1">
        <v>14</v>
      </c>
      <c r="G49" s="5">
        <v>2850</v>
      </c>
      <c r="H49" s="5">
        <v>39900</v>
      </c>
      <c r="I49" s="1" t="s">
        <v>15</v>
      </c>
      <c r="J49" s="1" t="s">
        <v>59</v>
      </c>
      <c r="K49" s="1" t="s">
        <v>32</v>
      </c>
      <c r="L49" s="1">
        <v>7</v>
      </c>
      <c r="M49" s="1" t="s">
        <v>44</v>
      </c>
      <c r="N49" s="1" t="str">
        <f>TEXT(tblbills[[#This Row],[Date]],"mmm")</f>
        <v>Nov</v>
      </c>
      <c r="O49" s="1" t="str">
        <f>TEXT(tblbills[[#This Row],[Date]],"yyyy")</f>
        <v>2024</v>
      </c>
      <c r="Q49"/>
      <c r="R49"/>
      <c r="S49"/>
      <c r="T49"/>
      <c r="U49"/>
      <c r="V49"/>
    </row>
    <row r="50" spans="1:22" x14ac:dyDescent="0.3">
      <c r="A50" s="1" t="str">
        <f t="shared" si="0"/>
        <v>DE1049</v>
      </c>
      <c r="B50" s="1" t="s">
        <v>19</v>
      </c>
      <c r="C50" s="1" t="s">
        <v>48</v>
      </c>
      <c r="D50" s="1" t="s">
        <v>24</v>
      </c>
      <c r="E50" s="2">
        <v>45604</v>
      </c>
      <c r="F50" s="1">
        <v>14</v>
      </c>
      <c r="G50" s="5">
        <v>898</v>
      </c>
      <c r="H50" s="5">
        <v>12572</v>
      </c>
      <c r="I50" s="1" t="s">
        <v>22</v>
      </c>
      <c r="J50" s="1" t="s">
        <v>26</v>
      </c>
      <c r="K50" s="1" t="s">
        <v>32</v>
      </c>
      <c r="L50" s="1">
        <v>0</v>
      </c>
      <c r="M50" s="1" t="s">
        <v>29</v>
      </c>
      <c r="N50" s="1" t="str">
        <f>TEXT(tblbills[[#This Row],[Date]],"mmm")</f>
        <v>Nov</v>
      </c>
      <c r="O50" s="1" t="str">
        <f>TEXT(tblbills[[#This Row],[Date]],"yyyy")</f>
        <v>2024</v>
      </c>
      <c r="Q50"/>
      <c r="R50"/>
      <c r="S50"/>
      <c r="T50"/>
      <c r="U50"/>
      <c r="V50"/>
    </row>
    <row r="51" spans="1:22" x14ac:dyDescent="0.3">
      <c r="A51" s="1" t="str">
        <f t="shared" si="0"/>
        <v>DE1050</v>
      </c>
      <c r="B51" s="1" t="s">
        <v>19</v>
      </c>
      <c r="C51" s="1" t="s">
        <v>25</v>
      </c>
      <c r="D51" s="1" t="s">
        <v>36</v>
      </c>
      <c r="E51" s="2">
        <v>45596</v>
      </c>
      <c r="F51" s="1">
        <v>10</v>
      </c>
      <c r="G51" s="5">
        <v>1300</v>
      </c>
      <c r="H51" s="5">
        <v>13000</v>
      </c>
      <c r="I51" s="1" t="s">
        <v>22</v>
      </c>
      <c r="J51" s="1" t="s">
        <v>47</v>
      </c>
      <c r="K51" s="1" t="s">
        <v>28</v>
      </c>
      <c r="L51" s="1">
        <v>0</v>
      </c>
      <c r="M51" s="1" t="s">
        <v>29</v>
      </c>
      <c r="N51" s="1" t="str">
        <f>TEXT(tblbills[[#This Row],[Date]],"mmm")</f>
        <v>Oct</v>
      </c>
      <c r="O51" s="1" t="str">
        <f>TEXT(tblbills[[#This Row],[Date]],"yyyy")</f>
        <v>2024</v>
      </c>
      <c r="Q51"/>
      <c r="R51"/>
      <c r="S51"/>
      <c r="T51"/>
      <c r="U51"/>
      <c r="V51"/>
    </row>
    <row r="52" spans="1:22" x14ac:dyDescent="0.3">
      <c r="A52" s="1" t="str">
        <f t="shared" si="0"/>
        <v>DE1051</v>
      </c>
      <c r="B52" s="1" t="s">
        <v>19</v>
      </c>
      <c r="C52" s="1" t="s">
        <v>48</v>
      </c>
      <c r="D52" s="1" t="s">
        <v>79</v>
      </c>
      <c r="E52" s="2">
        <v>45596</v>
      </c>
      <c r="F52" s="1">
        <v>1</v>
      </c>
      <c r="G52" s="5">
        <v>3001</v>
      </c>
      <c r="H52" s="5">
        <v>3001</v>
      </c>
      <c r="I52" s="1" t="s">
        <v>27</v>
      </c>
      <c r="J52" s="1" t="s">
        <v>59</v>
      </c>
      <c r="K52" s="1" t="s">
        <v>16</v>
      </c>
      <c r="L52" s="1">
        <v>7</v>
      </c>
      <c r="M52" s="1" t="s">
        <v>33</v>
      </c>
      <c r="N52" s="1" t="str">
        <f>TEXT(tblbills[[#This Row],[Date]],"mmm")</f>
        <v>Oct</v>
      </c>
      <c r="O52" s="1" t="str">
        <f>TEXT(tblbills[[#This Row],[Date]],"yyyy")</f>
        <v>2024</v>
      </c>
      <c r="Q52"/>
      <c r="R52"/>
      <c r="S52"/>
      <c r="T52"/>
      <c r="U52"/>
      <c r="V52"/>
    </row>
    <row r="53" spans="1:22" x14ac:dyDescent="0.3">
      <c r="A53" s="1" t="str">
        <f t="shared" si="0"/>
        <v>DE1052</v>
      </c>
      <c r="B53" s="1" t="s">
        <v>19</v>
      </c>
      <c r="C53" s="1" t="s">
        <v>50</v>
      </c>
      <c r="D53" s="1" t="s">
        <v>30</v>
      </c>
      <c r="E53" s="2">
        <v>45591</v>
      </c>
      <c r="F53" s="1">
        <v>14</v>
      </c>
      <c r="G53" s="5">
        <v>541</v>
      </c>
      <c r="H53" s="5">
        <v>7574</v>
      </c>
      <c r="I53" s="1" t="s">
        <v>27</v>
      </c>
      <c r="J53" s="1" t="s">
        <v>26</v>
      </c>
      <c r="K53" s="1" t="s">
        <v>16</v>
      </c>
      <c r="L53" s="1">
        <v>5</v>
      </c>
      <c r="M53" s="1" t="s">
        <v>23</v>
      </c>
      <c r="N53" s="1" t="str">
        <f>TEXT(tblbills[[#This Row],[Date]],"mmm")</f>
        <v>Oct</v>
      </c>
      <c r="O53" s="1" t="str">
        <f>TEXT(tblbills[[#This Row],[Date]],"yyyy")</f>
        <v>2024</v>
      </c>
      <c r="Q53"/>
      <c r="R53"/>
      <c r="S53"/>
      <c r="T53"/>
      <c r="U53"/>
      <c r="V53"/>
    </row>
    <row r="54" spans="1:22" x14ac:dyDescent="0.3">
      <c r="A54" s="1" t="str">
        <f t="shared" si="0"/>
        <v>DE1053</v>
      </c>
      <c r="B54" s="1" t="s">
        <v>19</v>
      </c>
      <c r="C54" s="1" t="s">
        <v>50</v>
      </c>
      <c r="D54" s="1" t="s">
        <v>62</v>
      </c>
      <c r="E54" s="2">
        <v>45591</v>
      </c>
      <c r="F54" s="1">
        <v>2</v>
      </c>
      <c r="G54" s="5">
        <v>2016</v>
      </c>
      <c r="H54" s="5">
        <v>4032</v>
      </c>
      <c r="I54" s="1" t="s">
        <v>27</v>
      </c>
      <c r="J54" s="1" t="s">
        <v>14</v>
      </c>
      <c r="K54" s="1" t="s">
        <v>16</v>
      </c>
      <c r="L54" s="1">
        <v>0</v>
      </c>
      <c r="M54" s="1" t="s">
        <v>17</v>
      </c>
      <c r="N54" s="1" t="str">
        <f>TEXT(tblbills[[#This Row],[Date]],"mmm")</f>
        <v>Oct</v>
      </c>
      <c r="O54" s="1" t="str">
        <f>TEXT(tblbills[[#This Row],[Date]],"yyyy")</f>
        <v>2024</v>
      </c>
      <c r="Q54"/>
      <c r="R54"/>
      <c r="S54"/>
      <c r="T54"/>
      <c r="U54"/>
      <c r="V54"/>
    </row>
    <row r="55" spans="1:22" x14ac:dyDescent="0.3">
      <c r="A55" s="1" t="str">
        <f t="shared" si="0"/>
        <v>DE1054</v>
      </c>
      <c r="B55" s="1" t="s">
        <v>19</v>
      </c>
      <c r="C55" s="1" t="s">
        <v>50</v>
      </c>
      <c r="D55" s="1" t="s">
        <v>74</v>
      </c>
      <c r="E55" s="2">
        <v>45591</v>
      </c>
      <c r="F55" s="1">
        <v>18</v>
      </c>
      <c r="G55" s="5">
        <v>2360</v>
      </c>
      <c r="H55" s="5">
        <v>42480</v>
      </c>
      <c r="I55" s="1" t="s">
        <v>22</v>
      </c>
      <c r="J55" s="1" t="s">
        <v>21</v>
      </c>
      <c r="K55" s="1" t="s">
        <v>32</v>
      </c>
      <c r="L55" s="1">
        <v>2</v>
      </c>
      <c r="M55" s="1" t="s">
        <v>23</v>
      </c>
      <c r="N55" s="1" t="str">
        <f>TEXT(tblbills[[#This Row],[Date]],"mmm")</f>
        <v>Oct</v>
      </c>
      <c r="O55" s="1" t="str">
        <f>TEXT(tblbills[[#This Row],[Date]],"yyyy")</f>
        <v>2024</v>
      </c>
      <c r="Q55"/>
      <c r="R55"/>
      <c r="S55"/>
      <c r="T55"/>
      <c r="U55"/>
      <c r="V55"/>
    </row>
    <row r="56" spans="1:22" x14ac:dyDescent="0.3">
      <c r="A56" s="1" t="str">
        <f t="shared" si="0"/>
        <v>DE1055</v>
      </c>
      <c r="B56" s="1" t="s">
        <v>19</v>
      </c>
      <c r="C56" s="1" t="s">
        <v>72</v>
      </c>
      <c r="D56" s="1" t="s">
        <v>56</v>
      </c>
      <c r="E56" s="2">
        <v>45590</v>
      </c>
      <c r="F56" s="1">
        <v>10</v>
      </c>
      <c r="G56" s="5">
        <v>2751</v>
      </c>
      <c r="H56" s="5">
        <v>27510</v>
      </c>
      <c r="I56" s="1" t="s">
        <v>15</v>
      </c>
      <c r="J56" s="1" t="s">
        <v>59</v>
      </c>
      <c r="K56" s="1" t="s">
        <v>16</v>
      </c>
      <c r="L56" s="1">
        <v>0</v>
      </c>
      <c r="M56" s="1" t="s">
        <v>23</v>
      </c>
      <c r="N56" s="1" t="str">
        <f>TEXT(tblbills[[#This Row],[Date]],"mmm")</f>
        <v>Oct</v>
      </c>
      <c r="O56" s="1" t="str">
        <f>TEXT(tblbills[[#This Row],[Date]],"yyyy")</f>
        <v>2024</v>
      </c>
      <c r="Q56"/>
      <c r="R56"/>
      <c r="S56"/>
      <c r="T56"/>
      <c r="U56"/>
      <c r="V56"/>
    </row>
    <row r="57" spans="1:22" x14ac:dyDescent="0.3">
      <c r="A57" s="1" t="str">
        <f t="shared" si="0"/>
        <v>DE1056</v>
      </c>
      <c r="B57" s="1" t="s">
        <v>19</v>
      </c>
      <c r="C57" s="1" t="s">
        <v>50</v>
      </c>
      <c r="D57" s="1" t="s">
        <v>40</v>
      </c>
      <c r="E57" s="2">
        <v>45589</v>
      </c>
      <c r="F57" s="1">
        <v>8</v>
      </c>
      <c r="G57" s="5">
        <v>3758</v>
      </c>
      <c r="H57" s="5">
        <v>30064</v>
      </c>
      <c r="I57" s="1" t="s">
        <v>22</v>
      </c>
      <c r="J57" s="1" t="s">
        <v>39</v>
      </c>
      <c r="K57" s="1" t="s">
        <v>32</v>
      </c>
      <c r="L57" s="1">
        <v>10</v>
      </c>
      <c r="M57" s="1" t="s">
        <v>23</v>
      </c>
      <c r="N57" s="1" t="str">
        <f>TEXT(tblbills[[#This Row],[Date]],"mmm")</f>
        <v>Oct</v>
      </c>
      <c r="O57" s="1" t="str">
        <f>TEXT(tblbills[[#This Row],[Date]],"yyyy")</f>
        <v>2024</v>
      </c>
      <c r="Q57"/>
      <c r="R57"/>
      <c r="S57"/>
      <c r="T57"/>
      <c r="U57"/>
      <c r="V57"/>
    </row>
    <row r="58" spans="1:22" x14ac:dyDescent="0.3">
      <c r="A58" s="1" t="str">
        <f t="shared" si="0"/>
        <v>DE1057</v>
      </c>
      <c r="B58" s="1" t="s">
        <v>19</v>
      </c>
      <c r="C58" s="1" t="s">
        <v>25</v>
      </c>
      <c r="D58" s="1" t="s">
        <v>45</v>
      </c>
      <c r="E58" s="2">
        <v>45578</v>
      </c>
      <c r="F58" s="1">
        <v>3</v>
      </c>
      <c r="G58" s="5">
        <v>971</v>
      </c>
      <c r="H58" s="5">
        <v>2913</v>
      </c>
      <c r="I58" s="1" t="s">
        <v>15</v>
      </c>
      <c r="J58" s="1" t="s">
        <v>39</v>
      </c>
      <c r="K58" s="1" t="s">
        <v>32</v>
      </c>
      <c r="L58" s="1">
        <v>0</v>
      </c>
      <c r="M58" s="1" t="s">
        <v>23</v>
      </c>
      <c r="N58" s="1" t="str">
        <f>TEXT(tblbills[[#This Row],[Date]],"mmm")</f>
        <v>Oct</v>
      </c>
      <c r="O58" s="1" t="str">
        <f>TEXT(tblbills[[#This Row],[Date]],"yyyy")</f>
        <v>2024</v>
      </c>
      <c r="Q58"/>
      <c r="R58"/>
      <c r="S58"/>
      <c r="T58"/>
      <c r="U58"/>
      <c r="V58"/>
    </row>
    <row r="59" spans="1:22" x14ac:dyDescent="0.3">
      <c r="A59" s="1" t="str">
        <f t="shared" si="0"/>
        <v>DE1058</v>
      </c>
      <c r="B59" s="1" t="s">
        <v>19</v>
      </c>
      <c r="C59" s="1" t="s">
        <v>50</v>
      </c>
      <c r="D59" s="1" t="s">
        <v>65</v>
      </c>
      <c r="E59" s="2">
        <v>45558</v>
      </c>
      <c r="F59" s="1">
        <v>6</v>
      </c>
      <c r="G59" s="5">
        <v>3043</v>
      </c>
      <c r="H59" s="5">
        <v>18258</v>
      </c>
      <c r="I59" s="1" t="s">
        <v>15</v>
      </c>
      <c r="J59" s="1" t="s">
        <v>59</v>
      </c>
      <c r="K59" s="1" t="s">
        <v>32</v>
      </c>
      <c r="L59" s="1">
        <v>7</v>
      </c>
      <c r="M59" s="1" t="s">
        <v>23</v>
      </c>
      <c r="N59" s="1" t="str">
        <f>TEXT(tblbills[[#This Row],[Date]],"mmm")</f>
        <v>Sep</v>
      </c>
      <c r="O59" s="1" t="str">
        <f>TEXT(tblbills[[#This Row],[Date]],"yyyy")</f>
        <v>2024</v>
      </c>
      <c r="Q59"/>
      <c r="R59"/>
      <c r="S59"/>
      <c r="T59"/>
      <c r="U59"/>
      <c r="V59"/>
    </row>
    <row r="60" spans="1:22" x14ac:dyDescent="0.3">
      <c r="A60" s="1" t="str">
        <f t="shared" si="0"/>
        <v>DE1059</v>
      </c>
      <c r="B60" s="1" t="s">
        <v>19</v>
      </c>
      <c r="C60" s="1" t="s">
        <v>72</v>
      </c>
      <c r="D60" s="1" t="s">
        <v>62</v>
      </c>
      <c r="E60" s="2">
        <v>45556</v>
      </c>
      <c r="F60" s="1">
        <v>3</v>
      </c>
      <c r="G60" s="5">
        <v>372</v>
      </c>
      <c r="H60" s="5">
        <v>1116</v>
      </c>
      <c r="I60" s="1" t="s">
        <v>27</v>
      </c>
      <c r="J60" s="1" t="s">
        <v>47</v>
      </c>
      <c r="K60" s="1" t="s">
        <v>16</v>
      </c>
      <c r="L60" s="1">
        <v>0</v>
      </c>
      <c r="M60" s="1" t="s">
        <v>33</v>
      </c>
      <c r="N60" s="1" t="str">
        <f>TEXT(tblbills[[#This Row],[Date]],"mmm")</f>
        <v>Sep</v>
      </c>
      <c r="O60" s="1" t="str">
        <f>TEXT(tblbills[[#This Row],[Date]],"yyyy")</f>
        <v>2024</v>
      </c>
      <c r="Q60"/>
      <c r="R60"/>
      <c r="S60"/>
      <c r="T60"/>
      <c r="U60"/>
      <c r="V60"/>
    </row>
    <row r="61" spans="1:22" x14ac:dyDescent="0.3">
      <c r="A61" s="1" t="str">
        <f t="shared" si="0"/>
        <v>DE1060</v>
      </c>
      <c r="B61" s="1" t="s">
        <v>19</v>
      </c>
      <c r="C61" s="1" t="s">
        <v>20</v>
      </c>
      <c r="D61" s="1" t="s">
        <v>18</v>
      </c>
      <c r="E61" s="2">
        <v>45555</v>
      </c>
      <c r="F61" s="1">
        <v>1</v>
      </c>
      <c r="G61" s="5">
        <v>887</v>
      </c>
      <c r="H61" s="5">
        <v>887</v>
      </c>
      <c r="I61" s="1" t="s">
        <v>22</v>
      </c>
      <c r="J61" s="1" t="s">
        <v>21</v>
      </c>
      <c r="K61" s="1" t="s">
        <v>16</v>
      </c>
      <c r="L61" s="1">
        <v>0</v>
      </c>
      <c r="M61" s="1" t="s">
        <v>23</v>
      </c>
      <c r="N61" s="1" t="str">
        <f>TEXT(tblbills[[#This Row],[Date]],"mmm")</f>
        <v>Sep</v>
      </c>
      <c r="O61" s="1" t="str">
        <f>TEXT(tblbills[[#This Row],[Date]],"yyyy")</f>
        <v>2024</v>
      </c>
      <c r="Q61"/>
      <c r="R61"/>
      <c r="S61"/>
      <c r="T61"/>
      <c r="U61"/>
      <c r="V61"/>
    </row>
    <row r="62" spans="1:22" x14ac:dyDescent="0.3">
      <c r="A62" s="1" t="str">
        <f t="shared" si="0"/>
        <v>DE1061</v>
      </c>
      <c r="B62" s="1" t="s">
        <v>19</v>
      </c>
      <c r="C62" s="1" t="s">
        <v>72</v>
      </c>
      <c r="D62" s="1" t="s">
        <v>11</v>
      </c>
      <c r="E62" s="2">
        <v>45542</v>
      </c>
      <c r="F62" s="1">
        <v>6</v>
      </c>
      <c r="G62" s="5">
        <v>1855</v>
      </c>
      <c r="H62" s="5">
        <v>11130</v>
      </c>
      <c r="I62" s="1" t="s">
        <v>27</v>
      </c>
      <c r="J62" s="1" t="s">
        <v>47</v>
      </c>
      <c r="K62" s="1" t="s">
        <v>16</v>
      </c>
      <c r="L62" s="1">
        <v>2</v>
      </c>
      <c r="M62" s="1" t="s">
        <v>23</v>
      </c>
      <c r="N62" s="1" t="str">
        <f>TEXT(tblbills[[#This Row],[Date]],"mmm")</f>
        <v>Sep</v>
      </c>
      <c r="O62" s="1" t="str">
        <f>TEXT(tblbills[[#This Row],[Date]],"yyyy")</f>
        <v>2024</v>
      </c>
      <c r="Q62"/>
      <c r="R62"/>
      <c r="S62"/>
      <c r="T62"/>
      <c r="U62"/>
      <c r="V62"/>
    </row>
    <row r="63" spans="1:22" x14ac:dyDescent="0.3">
      <c r="A63" s="1" t="str">
        <f t="shared" si="0"/>
        <v>DE1062</v>
      </c>
      <c r="B63" s="1" t="s">
        <v>19</v>
      </c>
      <c r="C63" s="1" t="s">
        <v>72</v>
      </c>
      <c r="D63" s="1" t="s">
        <v>45</v>
      </c>
      <c r="E63" s="2">
        <v>45539</v>
      </c>
      <c r="F63" s="1">
        <v>12</v>
      </c>
      <c r="G63" s="5">
        <v>1878</v>
      </c>
      <c r="H63" s="5">
        <v>22536</v>
      </c>
      <c r="I63" s="1" t="s">
        <v>27</v>
      </c>
      <c r="J63" s="1" t="s">
        <v>26</v>
      </c>
      <c r="K63" s="1" t="s">
        <v>28</v>
      </c>
      <c r="L63" s="1">
        <v>5</v>
      </c>
      <c r="M63" s="1" t="s">
        <v>44</v>
      </c>
      <c r="N63" s="1" t="str">
        <f>TEXT(tblbills[[#This Row],[Date]],"mmm")</f>
        <v>Sep</v>
      </c>
      <c r="O63" s="1" t="str">
        <f>TEXT(tblbills[[#This Row],[Date]],"yyyy")</f>
        <v>2024</v>
      </c>
      <c r="Q63"/>
      <c r="R63"/>
      <c r="S63"/>
      <c r="T63"/>
      <c r="U63"/>
      <c r="V63"/>
    </row>
    <row r="64" spans="1:22" x14ac:dyDescent="0.3">
      <c r="A64" s="1" t="str">
        <f t="shared" si="0"/>
        <v>DE1063</v>
      </c>
      <c r="B64" s="1" t="s">
        <v>19</v>
      </c>
      <c r="C64" s="1" t="s">
        <v>50</v>
      </c>
      <c r="D64" s="1" t="s">
        <v>78</v>
      </c>
      <c r="E64" s="2">
        <v>45531</v>
      </c>
      <c r="F64" s="1">
        <v>17</v>
      </c>
      <c r="G64" s="5">
        <v>2579</v>
      </c>
      <c r="H64" s="5">
        <v>43843</v>
      </c>
      <c r="I64" s="1" t="s">
        <v>27</v>
      </c>
      <c r="J64" s="1" t="s">
        <v>39</v>
      </c>
      <c r="K64" s="1" t="s">
        <v>32</v>
      </c>
      <c r="L64" s="1">
        <v>0</v>
      </c>
      <c r="M64" s="1" t="s">
        <v>17</v>
      </c>
      <c r="N64" s="1" t="str">
        <f>TEXT(tblbills[[#This Row],[Date]],"mmm")</f>
        <v>Aug</v>
      </c>
      <c r="O64" s="1" t="str">
        <f>TEXT(tblbills[[#This Row],[Date]],"yyyy")</f>
        <v>2024</v>
      </c>
      <c r="Q64"/>
      <c r="R64"/>
      <c r="S64"/>
      <c r="T64"/>
      <c r="U64"/>
      <c r="V64"/>
    </row>
    <row r="65" spans="1:22" x14ac:dyDescent="0.3">
      <c r="A65" s="1" t="str">
        <f t="shared" si="0"/>
        <v>DE1064</v>
      </c>
      <c r="B65" s="1" t="s">
        <v>19</v>
      </c>
      <c r="C65" s="1" t="s">
        <v>25</v>
      </c>
      <c r="D65" s="1" t="s">
        <v>24</v>
      </c>
      <c r="E65" s="2">
        <v>45525</v>
      </c>
      <c r="F65" s="1">
        <v>9</v>
      </c>
      <c r="G65" s="5">
        <v>173</v>
      </c>
      <c r="H65" s="5">
        <v>1557</v>
      </c>
      <c r="I65" s="1" t="s">
        <v>27</v>
      </c>
      <c r="J65" s="1" t="s">
        <v>26</v>
      </c>
      <c r="K65" s="1" t="s">
        <v>28</v>
      </c>
      <c r="L65" s="1">
        <v>10</v>
      </c>
      <c r="M65" s="1" t="s">
        <v>29</v>
      </c>
      <c r="N65" s="1" t="str">
        <f>TEXT(tblbills[[#This Row],[Date]],"mmm")</f>
        <v>Aug</v>
      </c>
      <c r="O65" s="1" t="str">
        <f>TEXT(tblbills[[#This Row],[Date]],"yyyy")</f>
        <v>2024</v>
      </c>
      <c r="Q65"/>
      <c r="R65"/>
      <c r="S65"/>
      <c r="T65"/>
      <c r="U65"/>
      <c r="V65"/>
    </row>
    <row r="66" spans="1:22" x14ac:dyDescent="0.3">
      <c r="A66" s="1" t="str">
        <f t="shared" si="0"/>
        <v>DE1065</v>
      </c>
      <c r="B66" s="1" t="s">
        <v>19</v>
      </c>
      <c r="C66" s="1" t="s">
        <v>25</v>
      </c>
      <c r="D66" s="1" t="s">
        <v>67</v>
      </c>
      <c r="E66" s="2">
        <v>45525</v>
      </c>
      <c r="F66" s="1">
        <v>14</v>
      </c>
      <c r="G66" s="5">
        <v>2153</v>
      </c>
      <c r="H66" s="5">
        <v>30142</v>
      </c>
      <c r="I66" s="1" t="s">
        <v>22</v>
      </c>
      <c r="J66" s="1" t="s">
        <v>21</v>
      </c>
      <c r="K66" s="1" t="s">
        <v>28</v>
      </c>
      <c r="L66" s="1">
        <v>10</v>
      </c>
      <c r="M66" s="1" t="s">
        <v>33</v>
      </c>
      <c r="N66" s="1" t="str">
        <f>TEXT(tblbills[[#This Row],[Date]],"mmm")</f>
        <v>Aug</v>
      </c>
      <c r="O66" s="1" t="str">
        <f>TEXT(tblbills[[#This Row],[Date]],"yyyy")</f>
        <v>2024</v>
      </c>
      <c r="Q66"/>
      <c r="R66"/>
      <c r="S66"/>
      <c r="T66"/>
      <c r="U66"/>
      <c r="V66"/>
    </row>
    <row r="67" spans="1:22" x14ac:dyDescent="0.3">
      <c r="A67" s="1" t="str">
        <f t="shared" ref="A67:A130" si="1">"DE"&amp;ROW()+999</f>
        <v>DE1066</v>
      </c>
      <c r="B67" s="1" t="s">
        <v>19</v>
      </c>
      <c r="C67" s="1" t="s">
        <v>20</v>
      </c>
      <c r="D67" s="1" t="s">
        <v>77</v>
      </c>
      <c r="E67" s="2">
        <v>45518</v>
      </c>
      <c r="F67" s="1">
        <v>19</v>
      </c>
      <c r="G67" s="5">
        <v>1932</v>
      </c>
      <c r="H67" s="5">
        <v>36708</v>
      </c>
      <c r="I67" s="1" t="s">
        <v>22</v>
      </c>
      <c r="J67" s="1" t="s">
        <v>26</v>
      </c>
      <c r="K67" s="1" t="s">
        <v>16</v>
      </c>
      <c r="L67" s="1">
        <v>7</v>
      </c>
      <c r="M67" s="1" t="s">
        <v>44</v>
      </c>
      <c r="N67" s="1" t="str">
        <f>TEXT(tblbills[[#This Row],[Date]],"mmm")</f>
        <v>Aug</v>
      </c>
      <c r="O67" s="1" t="str">
        <f>TEXT(tblbills[[#This Row],[Date]],"yyyy")</f>
        <v>2024</v>
      </c>
      <c r="Q67"/>
      <c r="R67"/>
      <c r="S67"/>
      <c r="T67"/>
      <c r="U67"/>
      <c r="V67"/>
    </row>
    <row r="68" spans="1:22" x14ac:dyDescent="0.3">
      <c r="A68" s="1" t="str">
        <f t="shared" si="1"/>
        <v>DE1067</v>
      </c>
      <c r="B68" s="1" t="s">
        <v>19</v>
      </c>
      <c r="C68" s="1" t="s">
        <v>72</v>
      </c>
      <c r="D68" s="1" t="s">
        <v>74</v>
      </c>
      <c r="E68" s="2">
        <v>45515</v>
      </c>
      <c r="F68" s="1">
        <v>3</v>
      </c>
      <c r="G68" s="5">
        <v>943</v>
      </c>
      <c r="H68" s="5">
        <v>2829</v>
      </c>
      <c r="I68" s="1" t="s">
        <v>22</v>
      </c>
      <c r="J68" s="1" t="s">
        <v>21</v>
      </c>
      <c r="K68" s="1" t="s">
        <v>32</v>
      </c>
      <c r="L68" s="1">
        <v>2</v>
      </c>
      <c r="M68" s="1" t="s">
        <v>23</v>
      </c>
      <c r="N68" s="1" t="str">
        <f>TEXT(tblbills[[#This Row],[Date]],"mmm")</f>
        <v>Aug</v>
      </c>
      <c r="O68" s="1" t="str">
        <f>TEXT(tblbills[[#This Row],[Date]],"yyyy")</f>
        <v>2024</v>
      </c>
      <c r="Q68"/>
      <c r="R68"/>
      <c r="S68"/>
      <c r="T68"/>
      <c r="U68"/>
      <c r="V68"/>
    </row>
    <row r="69" spans="1:22" x14ac:dyDescent="0.3">
      <c r="A69" s="1" t="str">
        <f t="shared" si="1"/>
        <v>DE1068</v>
      </c>
      <c r="B69" s="1" t="s">
        <v>19</v>
      </c>
      <c r="C69" s="1" t="s">
        <v>48</v>
      </c>
      <c r="D69" s="1" t="s">
        <v>18</v>
      </c>
      <c r="E69" s="2">
        <v>45515</v>
      </c>
      <c r="F69" s="1">
        <v>5</v>
      </c>
      <c r="G69" s="5">
        <v>2289</v>
      </c>
      <c r="H69" s="5">
        <v>11445</v>
      </c>
      <c r="I69" s="1" t="s">
        <v>22</v>
      </c>
      <c r="J69" s="1" t="s">
        <v>14</v>
      </c>
      <c r="K69" s="1" t="s">
        <v>32</v>
      </c>
      <c r="L69" s="1">
        <v>7</v>
      </c>
      <c r="M69" s="1" t="s">
        <v>17</v>
      </c>
      <c r="N69" s="1" t="str">
        <f>TEXT(tblbills[[#This Row],[Date]],"mmm")</f>
        <v>Aug</v>
      </c>
      <c r="O69" s="1" t="str">
        <f>TEXT(tblbills[[#This Row],[Date]],"yyyy")</f>
        <v>2024</v>
      </c>
      <c r="Q69"/>
      <c r="R69"/>
      <c r="S69"/>
      <c r="T69"/>
      <c r="U69"/>
      <c r="V69"/>
    </row>
    <row r="70" spans="1:22" x14ac:dyDescent="0.3">
      <c r="A70" s="1" t="str">
        <f t="shared" si="1"/>
        <v>DE1069</v>
      </c>
      <c r="B70" s="1" t="s">
        <v>19</v>
      </c>
      <c r="C70" s="1" t="s">
        <v>20</v>
      </c>
      <c r="D70" s="1" t="s">
        <v>24</v>
      </c>
      <c r="E70" s="2">
        <v>45514</v>
      </c>
      <c r="F70" s="1">
        <v>17</v>
      </c>
      <c r="G70" s="5">
        <v>2331</v>
      </c>
      <c r="H70" s="5">
        <v>39627</v>
      </c>
      <c r="I70" s="1" t="s">
        <v>15</v>
      </c>
      <c r="J70" s="1" t="s">
        <v>59</v>
      </c>
      <c r="K70" s="1" t="s">
        <v>16</v>
      </c>
      <c r="L70" s="1">
        <v>5</v>
      </c>
      <c r="M70" s="1" t="s">
        <v>44</v>
      </c>
      <c r="N70" s="1" t="str">
        <f>TEXT(tblbills[[#This Row],[Date]],"mmm")</f>
        <v>Aug</v>
      </c>
      <c r="O70" s="1" t="str">
        <f>TEXT(tblbills[[#This Row],[Date]],"yyyy")</f>
        <v>2024</v>
      </c>
      <c r="Q70"/>
      <c r="R70"/>
      <c r="S70"/>
      <c r="T70"/>
      <c r="U70"/>
      <c r="V70"/>
    </row>
    <row r="71" spans="1:22" x14ac:dyDescent="0.3">
      <c r="A71" s="1" t="str">
        <f t="shared" si="1"/>
        <v>DE1070</v>
      </c>
      <c r="B71" s="1" t="s">
        <v>19</v>
      </c>
      <c r="C71" s="1" t="s">
        <v>25</v>
      </c>
      <c r="D71" s="1" t="s">
        <v>49</v>
      </c>
      <c r="E71" s="2">
        <v>45513</v>
      </c>
      <c r="F71" s="1">
        <v>9</v>
      </c>
      <c r="G71" s="5">
        <v>3764</v>
      </c>
      <c r="H71" s="5">
        <v>33876</v>
      </c>
      <c r="I71" s="1" t="s">
        <v>22</v>
      </c>
      <c r="J71" s="1" t="s">
        <v>39</v>
      </c>
      <c r="K71" s="1" t="s">
        <v>32</v>
      </c>
      <c r="L71" s="1">
        <v>7</v>
      </c>
      <c r="M71" s="1" t="s">
        <v>17</v>
      </c>
      <c r="N71" s="1" t="str">
        <f>TEXT(tblbills[[#This Row],[Date]],"mmm")</f>
        <v>Aug</v>
      </c>
      <c r="O71" s="1" t="str">
        <f>TEXT(tblbills[[#This Row],[Date]],"yyyy")</f>
        <v>2024</v>
      </c>
      <c r="Q71"/>
      <c r="R71"/>
      <c r="S71"/>
      <c r="T71"/>
      <c r="U71"/>
      <c r="V71"/>
    </row>
    <row r="72" spans="1:22" x14ac:dyDescent="0.3">
      <c r="A72" s="1" t="str">
        <f t="shared" si="1"/>
        <v>DE1071</v>
      </c>
      <c r="B72" s="1" t="s">
        <v>19</v>
      </c>
      <c r="C72" s="1" t="s">
        <v>72</v>
      </c>
      <c r="D72" s="1" t="s">
        <v>40</v>
      </c>
      <c r="E72" s="2">
        <v>45512</v>
      </c>
      <c r="F72" s="1">
        <v>19</v>
      </c>
      <c r="G72" s="5">
        <v>2503</v>
      </c>
      <c r="H72" s="5">
        <v>47557</v>
      </c>
      <c r="I72" s="1" t="s">
        <v>22</v>
      </c>
      <c r="J72" s="1" t="s">
        <v>21</v>
      </c>
      <c r="K72" s="1" t="s">
        <v>32</v>
      </c>
      <c r="L72" s="1">
        <v>0</v>
      </c>
      <c r="M72" s="1" t="s">
        <v>23</v>
      </c>
      <c r="N72" s="1" t="str">
        <f>TEXT(tblbills[[#This Row],[Date]],"mmm")</f>
        <v>Aug</v>
      </c>
      <c r="O72" s="1" t="str">
        <f>TEXT(tblbills[[#This Row],[Date]],"yyyy")</f>
        <v>2024</v>
      </c>
      <c r="Q72"/>
      <c r="R72"/>
      <c r="S72"/>
      <c r="T72"/>
      <c r="U72"/>
      <c r="V72"/>
    </row>
    <row r="73" spans="1:22" x14ac:dyDescent="0.3">
      <c r="A73" s="1" t="str">
        <f t="shared" si="1"/>
        <v>DE1072</v>
      </c>
      <c r="B73" s="1" t="s">
        <v>19</v>
      </c>
      <c r="C73" s="1" t="s">
        <v>20</v>
      </c>
      <c r="D73" s="1" t="s">
        <v>18</v>
      </c>
      <c r="E73" s="2">
        <v>45511</v>
      </c>
      <c r="F73" s="1">
        <v>9</v>
      </c>
      <c r="G73" s="5">
        <v>1159</v>
      </c>
      <c r="H73" s="5">
        <v>10431</v>
      </c>
      <c r="I73" s="1" t="s">
        <v>22</v>
      </c>
      <c r="J73" s="1" t="s">
        <v>39</v>
      </c>
      <c r="K73" s="1" t="s">
        <v>28</v>
      </c>
      <c r="L73" s="1">
        <v>10</v>
      </c>
      <c r="M73" s="1" t="s">
        <v>33</v>
      </c>
      <c r="N73" s="1" t="str">
        <f>TEXT(tblbills[[#This Row],[Date]],"mmm")</f>
        <v>Aug</v>
      </c>
      <c r="O73" s="1" t="str">
        <f>TEXT(tblbills[[#This Row],[Date]],"yyyy")</f>
        <v>2024</v>
      </c>
      <c r="Q73"/>
      <c r="R73"/>
      <c r="S73"/>
      <c r="T73"/>
      <c r="U73"/>
      <c r="V73"/>
    </row>
    <row r="74" spans="1:22" x14ac:dyDescent="0.3">
      <c r="A74" s="1" t="str">
        <f t="shared" si="1"/>
        <v>DE1073</v>
      </c>
      <c r="B74" s="1" t="s">
        <v>19</v>
      </c>
      <c r="C74" s="1" t="s">
        <v>20</v>
      </c>
      <c r="D74" s="1" t="s">
        <v>34</v>
      </c>
      <c r="E74" s="2">
        <v>45511</v>
      </c>
      <c r="F74" s="1">
        <v>8</v>
      </c>
      <c r="G74" s="5">
        <v>1957</v>
      </c>
      <c r="H74" s="5">
        <v>15656</v>
      </c>
      <c r="I74" s="1" t="s">
        <v>15</v>
      </c>
      <c r="J74" s="1" t="s">
        <v>14</v>
      </c>
      <c r="K74" s="1" t="s">
        <v>16</v>
      </c>
      <c r="L74" s="1">
        <v>0</v>
      </c>
      <c r="M74" s="1" t="s">
        <v>44</v>
      </c>
      <c r="N74" s="1" t="str">
        <f>TEXT(tblbills[[#This Row],[Date]],"mmm")</f>
        <v>Aug</v>
      </c>
      <c r="O74" s="1" t="str">
        <f>TEXT(tblbills[[#This Row],[Date]],"yyyy")</f>
        <v>2024</v>
      </c>
      <c r="Q74"/>
      <c r="R74"/>
      <c r="S74"/>
      <c r="T74"/>
      <c r="U74"/>
      <c r="V74"/>
    </row>
    <row r="75" spans="1:22" x14ac:dyDescent="0.3">
      <c r="A75" s="1" t="str">
        <f t="shared" si="1"/>
        <v>DE1074</v>
      </c>
      <c r="B75" s="1" t="s">
        <v>19</v>
      </c>
      <c r="C75" s="1" t="s">
        <v>50</v>
      </c>
      <c r="D75" s="1" t="s">
        <v>49</v>
      </c>
      <c r="E75" s="2">
        <v>45510</v>
      </c>
      <c r="F75" s="1">
        <v>20</v>
      </c>
      <c r="G75" s="5">
        <v>356</v>
      </c>
      <c r="H75" s="5">
        <v>7120</v>
      </c>
      <c r="I75" s="1" t="s">
        <v>15</v>
      </c>
      <c r="J75" s="1" t="s">
        <v>43</v>
      </c>
      <c r="K75" s="1" t="s">
        <v>32</v>
      </c>
      <c r="L75" s="1">
        <v>0</v>
      </c>
      <c r="M75" s="1" t="s">
        <v>44</v>
      </c>
      <c r="N75" s="1" t="str">
        <f>TEXT(tblbills[[#This Row],[Date]],"mmm")</f>
        <v>Aug</v>
      </c>
      <c r="O75" s="1" t="str">
        <f>TEXT(tblbills[[#This Row],[Date]],"yyyy")</f>
        <v>2024</v>
      </c>
      <c r="Q75"/>
      <c r="R75"/>
      <c r="S75"/>
      <c r="T75"/>
      <c r="U75"/>
      <c r="V75"/>
    </row>
    <row r="76" spans="1:22" x14ac:dyDescent="0.3">
      <c r="A76" s="1" t="str">
        <f t="shared" si="1"/>
        <v>DE1075</v>
      </c>
      <c r="B76" s="1" t="s">
        <v>19</v>
      </c>
      <c r="C76" s="1" t="s">
        <v>20</v>
      </c>
      <c r="D76" s="1" t="s">
        <v>24</v>
      </c>
      <c r="E76" s="2">
        <v>45505</v>
      </c>
      <c r="F76" s="1">
        <v>1</v>
      </c>
      <c r="G76" s="5">
        <v>2934</v>
      </c>
      <c r="H76" s="5">
        <v>2934</v>
      </c>
      <c r="I76" s="1" t="s">
        <v>15</v>
      </c>
      <c r="J76" s="1" t="s">
        <v>14</v>
      </c>
      <c r="K76" s="1" t="s">
        <v>28</v>
      </c>
      <c r="L76" s="1">
        <v>0</v>
      </c>
      <c r="M76" s="1" t="s">
        <v>29</v>
      </c>
      <c r="N76" s="1" t="str">
        <f>TEXT(tblbills[[#This Row],[Date]],"mmm")</f>
        <v>Aug</v>
      </c>
      <c r="O76" s="1" t="str">
        <f>TEXT(tblbills[[#This Row],[Date]],"yyyy")</f>
        <v>2024</v>
      </c>
      <c r="Q76"/>
      <c r="R76"/>
      <c r="S76"/>
      <c r="T76"/>
      <c r="U76"/>
      <c r="V76"/>
    </row>
    <row r="77" spans="1:22" x14ac:dyDescent="0.3">
      <c r="A77" s="1" t="str">
        <f t="shared" si="1"/>
        <v>DE1076</v>
      </c>
      <c r="B77" s="1" t="s">
        <v>19</v>
      </c>
      <c r="C77" s="1" t="s">
        <v>25</v>
      </c>
      <c r="D77" s="1" t="s">
        <v>49</v>
      </c>
      <c r="E77" s="2">
        <v>45500</v>
      </c>
      <c r="F77" s="1">
        <v>15</v>
      </c>
      <c r="G77" s="5">
        <v>634</v>
      </c>
      <c r="H77" s="5">
        <v>9510</v>
      </c>
      <c r="I77" s="1" t="s">
        <v>22</v>
      </c>
      <c r="J77" s="1" t="s">
        <v>21</v>
      </c>
      <c r="K77" s="1" t="s">
        <v>16</v>
      </c>
      <c r="L77" s="1">
        <v>5</v>
      </c>
      <c r="M77" s="1" t="s">
        <v>23</v>
      </c>
      <c r="N77" s="1" t="str">
        <f>TEXT(tblbills[[#This Row],[Date]],"mmm")</f>
        <v>Jul</v>
      </c>
      <c r="O77" s="1" t="str">
        <f>TEXT(tblbills[[#This Row],[Date]],"yyyy")</f>
        <v>2024</v>
      </c>
      <c r="Q77"/>
      <c r="R77"/>
      <c r="S77"/>
      <c r="T77"/>
      <c r="U77"/>
      <c r="V77"/>
    </row>
    <row r="78" spans="1:22" x14ac:dyDescent="0.3">
      <c r="A78" s="1" t="str">
        <f t="shared" si="1"/>
        <v>DE1077</v>
      </c>
      <c r="B78" s="1" t="s">
        <v>19</v>
      </c>
      <c r="C78" s="1" t="s">
        <v>48</v>
      </c>
      <c r="D78" s="1" t="s">
        <v>40</v>
      </c>
      <c r="E78" s="2">
        <v>45499</v>
      </c>
      <c r="F78" s="1">
        <v>12</v>
      </c>
      <c r="G78" s="5">
        <v>4324</v>
      </c>
      <c r="H78" s="5">
        <v>51888</v>
      </c>
      <c r="I78" s="1" t="s">
        <v>15</v>
      </c>
      <c r="J78" s="1" t="s">
        <v>21</v>
      </c>
      <c r="K78" s="1" t="s">
        <v>28</v>
      </c>
      <c r="L78" s="1">
        <v>7</v>
      </c>
      <c r="M78" s="1" t="s">
        <v>33</v>
      </c>
      <c r="N78" s="1" t="str">
        <f>TEXT(tblbills[[#This Row],[Date]],"mmm")</f>
        <v>Jul</v>
      </c>
      <c r="O78" s="1" t="str">
        <f>TEXT(tblbills[[#This Row],[Date]],"yyyy")</f>
        <v>2024</v>
      </c>
      <c r="Q78"/>
      <c r="R78"/>
      <c r="S78"/>
      <c r="T78"/>
      <c r="U78"/>
      <c r="V78"/>
    </row>
    <row r="79" spans="1:22" x14ac:dyDescent="0.3">
      <c r="A79" s="1" t="str">
        <f t="shared" si="1"/>
        <v>DE1078</v>
      </c>
      <c r="B79" s="1" t="s">
        <v>19</v>
      </c>
      <c r="C79" s="1" t="s">
        <v>50</v>
      </c>
      <c r="D79" s="1" t="s">
        <v>40</v>
      </c>
      <c r="E79" s="2">
        <v>45494</v>
      </c>
      <c r="F79" s="1">
        <v>2</v>
      </c>
      <c r="G79" s="5">
        <v>496</v>
      </c>
      <c r="H79" s="5">
        <v>992</v>
      </c>
      <c r="I79" s="1" t="s">
        <v>15</v>
      </c>
      <c r="J79" s="1" t="s">
        <v>47</v>
      </c>
      <c r="K79" s="1" t="s">
        <v>32</v>
      </c>
      <c r="L79" s="1">
        <v>2</v>
      </c>
      <c r="M79" s="1" t="s">
        <v>33</v>
      </c>
      <c r="N79" s="1" t="str">
        <f>TEXT(tblbills[[#This Row],[Date]],"mmm")</f>
        <v>Jul</v>
      </c>
      <c r="O79" s="1" t="str">
        <f>TEXT(tblbills[[#This Row],[Date]],"yyyy")</f>
        <v>2024</v>
      </c>
      <c r="Q79"/>
      <c r="R79"/>
      <c r="S79"/>
      <c r="T79"/>
      <c r="U79"/>
      <c r="V79"/>
    </row>
    <row r="80" spans="1:22" x14ac:dyDescent="0.3">
      <c r="A80" s="1" t="str">
        <f t="shared" si="1"/>
        <v>DE1079</v>
      </c>
      <c r="B80" s="1" t="s">
        <v>19</v>
      </c>
      <c r="C80" s="1" t="s">
        <v>48</v>
      </c>
      <c r="D80" s="1" t="s">
        <v>56</v>
      </c>
      <c r="E80" s="2">
        <v>45494</v>
      </c>
      <c r="F80" s="1">
        <v>15</v>
      </c>
      <c r="G80" s="5">
        <v>563</v>
      </c>
      <c r="H80" s="5">
        <v>8445</v>
      </c>
      <c r="I80" s="1" t="s">
        <v>22</v>
      </c>
      <c r="J80" s="1" t="s">
        <v>43</v>
      </c>
      <c r="K80" s="1" t="s">
        <v>28</v>
      </c>
      <c r="L80" s="1">
        <v>0</v>
      </c>
      <c r="M80" s="1" t="s">
        <v>23</v>
      </c>
      <c r="N80" s="1" t="str">
        <f>TEXT(tblbills[[#This Row],[Date]],"mmm")</f>
        <v>Jul</v>
      </c>
      <c r="O80" s="1" t="str">
        <f>TEXT(tblbills[[#This Row],[Date]],"yyyy")</f>
        <v>2024</v>
      </c>
      <c r="Q80"/>
      <c r="R80"/>
      <c r="S80"/>
      <c r="T80"/>
      <c r="U80"/>
      <c r="V80"/>
    </row>
    <row r="81" spans="1:22" x14ac:dyDescent="0.3">
      <c r="A81" s="1" t="str">
        <f t="shared" si="1"/>
        <v>DE1080</v>
      </c>
      <c r="B81" s="1" t="s">
        <v>19</v>
      </c>
      <c r="C81" s="1" t="s">
        <v>48</v>
      </c>
      <c r="D81" s="1" t="s">
        <v>40</v>
      </c>
      <c r="E81" s="2">
        <v>45491</v>
      </c>
      <c r="F81" s="1">
        <v>11</v>
      </c>
      <c r="G81" s="5">
        <v>140</v>
      </c>
      <c r="H81" s="5">
        <v>1540</v>
      </c>
      <c r="I81" s="1" t="s">
        <v>22</v>
      </c>
      <c r="J81" s="1" t="s">
        <v>14</v>
      </c>
      <c r="K81" s="1" t="s">
        <v>32</v>
      </c>
      <c r="L81" s="1">
        <v>10</v>
      </c>
      <c r="M81" s="1" t="s">
        <v>17</v>
      </c>
      <c r="N81" s="1" t="str">
        <f>TEXT(tblbills[[#This Row],[Date]],"mmm")</f>
        <v>Jul</v>
      </c>
      <c r="O81" s="1" t="str">
        <f>TEXT(tblbills[[#This Row],[Date]],"yyyy")</f>
        <v>2024</v>
      </c>
      <c r="Q81"/>
      <c r="R81"/>
      <c r="S81"/>
      <c r="T81"/>
      <c r="U81"/>
      <c r="V81"/>
    </row>
    <row r="82" spans="1:22" x14ac:dyDescent="0.3">
      <c r="A82" s="1" t="str">
        <f t="shared" si="1"/>
        <v>DE1081</v>
      </c>
      <c r="B82" s="1" t="s">
        <v>19</v>
      </c>
      <c r="C82" s="1" t="s">
        <v>50</v>
      </c>
      <c r="D82" s="1" t="s">
        <v>74</v>
      </c>
      <c r="E82" s="2">
        <v>45490</v>
      </c>
      <c r="F82" s="1">
        <v>8</v>
      </c>
      <c r="G82" s="5">
        <v>3636</v>
      </c>
      <c r="H82" s="5">
        <v>29088</v>
      </c>
      <c r="I82" s="1" t="s">
        <v>15</v>
      </c>
      <c r="J82" s="1" t="s">
        <v>47</v>
      </c>
      <c r="K82" s="1" t="s">
        <v>28</v>
      </c>
      <c r="L82" s="1">
        <v>0</v>
      </c>
      <c r="M82" s="1" t="s">
        <v>17</v>
      </c>
      <c r="N82" s="1" t="str">
        <f>TEXT(tblbills[[#This Row],[Date]],"mmm")</f>
        <v>Jul</v>
      </c>
      <c r="O82" s="1" t="str">
        <f>TEXT(tblbills[[#This Row],[Date]],"yyyy")</f>
        <v>2024</v>
      </c>
      <c r="Q82"/>
      <c r="R82"/>
      <c r="S82"/>
      <c r="T82"/>
      <c r="U82"/>
      <c r="V82"/>
    </row>
    <row r="83" spans="1:22" x14ac:dyDescent="0.3">
      <c r="A83" s="1" t="str">
        <f t="shared" si="1"/>
        <v>DE1082</v>
      </c>
      <c r="B83" s="1" t="s">
        <v>19</v>
      </c>
      <c r="C83" s="1" t="s">
        <v>25</v>
      </c>
      <c r="D83" s="1" t="s">
        <v>67</v>
      </c>
      <c r="E83" s="2">
        <v>45489</v>
      </c>
      <c r="F83" s="1">
        <v>2</v>
      </c>
      <c r="G83" s="5">
        <v>3845</v>
      </c>
      <c r="H83" s="5">
        <v>7690</v>
      </c>
      <c r="I83" s="1" t="s">
        <v>27</v>
      </c>
      <c r="J83" s="1" t="s">
        <v>26</v>
      </c>
      <c r="K83" s="1" t="s">
        <v>32</v>
      </c>
      <c r="L83" s="1">
        <v>10</v>
      </c>
      <c r="M83" s="1" t="s">
        <v>17</v>
      </c>
      <c r="N83" s="1" t="str">
        <f>TEXT(tblbills[[#This Row],[Date]],"mmm")</f>
        <v>Jul</v>
      </c>
      <c r="O83" s="1" t="str">
        <f>TEXT(tblbills[[#This Row],[Date]],"yyyy")</f>
        <v>2024</v>
      </c>
      <c r="Q83"/>
      <c r="R83"/>
      <c r="S83"/>
      <c r="T83"/>
      <c r="U83"/>
      <c r="V83"/>
    </row>
    <row r="84" spans="1:22" x14ac:dyDescent="0.3">
      <c r="A84" s="1" t="str">
        <f t="shared" si="1"/>
        <v>DE1083</v>
      </c>
      <c r="B84" s="1" t="s">
        <v>19</v>
      </c>
      <c r="C84" s="1" t="s">
        <v>72</v>
      </c>
      <c r="D84" s="1" t="s">
        <v>24</v>
      </c>
      <c r="E84" s="2">
        <v>45488</v>
      </c>
      <c r="F84" s="1">
        <v>2</v>
      </c>
      <c r="G84" s="5">
        <v>2122</v>
      </c>
      <c r="H84" s="5">
        <v>4244</v>
      </c>
      <c r="I84" s="1" t="s">
        <v>27</v>
      </c>
      <c r="J84" s="1" t="s">
        <v>47</v>
      </c>
      <c r="K84" s="1" t="s">
        <v>16</v>
      </c>
      <c r="L84" s="1">
        <v>0</v>
      </c>
      <c r="M84" s="1" t="s">
        <v>23</v>
      </c>
      <c r="N84" s="1" t="str">
        <f>TEXT(tblbills[[#This Row],[Date]],"mmm")</f>
        <v>Jul</v>
      </c>
      <c r="O84" s="1" t="str">
        <f>TEXT(tblbills[[#This Row],[Date]],"yyyy")</f>
        <v>2024</v>
      </c>
      <c r="Q84"/>
      <c r="R84"/>
      <c r="S84"/>
      <c r="T84"/>
      <c r="U84"/>
      <c r="V84"/>
    </row>
    <row r="85" spans="1:22" x14ac:dyDescent="0.3">
      <c r="A85" s="1" t="str">
        <f t="shared" si="1"/>
        <v>DE1084</v>
      </c>
      <c r="B85" s="1" t="s">
        <v>19</v>
      </c>
      <c r="C85" s="1" t="s">
        <v>25</v>
      </c>
      <c r="D85" s="1" t="s">
        <v>11</v>
      </c>
      <c r="E85" s="2">
        <v>45482</v>
      </c>
      <c r="F85" s="1">
        <v>1</v>
      </c>
      <c r="G85" s="5">
        <v>1036</v>
      </c>
      <c r="H85" s="5">
        <v>1036</v>
      </c>
      <c r="I85" s="1" t="s">
        <v>15</v>
      </c>
      <c r="J85" s="1" t="s">
        <v>21</v>
      </c>
      <c r="K85" s="1" t="s">
        <v>16</v>
      </c>
      <c r="L85" s="1">
        <v>5</v>
      </c>
      <c r="M85" s="1" t="s">
        <v>33</v>
      </c>
      <c r="N85" s="1" t="str">
        <f>TEXT(tblbills[[#This Row],[Date]],"mmm")</f>
        <v>Jul</v>
      </c>
      <c r="O85" s="1" t="str">
        <f>TEXT(tblbills[[#This Row],[Date]],"yyyy")</f>
        <v>2024</v>
      </c>
      <c r="Q85"/>
      <c r="R85"/>
      <c r="S85"/>
      <c r="T85"/>
      <c r="U85"/>
      <c r="V85"/>
    </row>
    <row r="86" spans="1:22" x14ac:dyDescent="0.3">
      <c r="A86" s="1" t="str">
        <f t="shared" si="1"/>
        <v>DE1085</v>
      </c>
      <c r="B86" s="1" t="s">
        <v>19</v>
      </c>
      <c r="C86" s="1" t="s">
        <v>25</v>
      </c>
      <c r="D86" s="1" t="s">
        <v>34</v>
      </c>
      <c r="E86" s="2">
        <v>45480</v>
      </c>
      <c r="F86" s="1">
        <v>19</v>
      </c>
      <c r="G86" s="5">
        <v>3435</v>
      </c>
      <c r="H86" s="5">
        <v>65265</v>
      </c>
      <c r="I86" s="1" t="s">
        <v>27</v>
      </c>
      <c r="J86" s="1" t="s">
        <v>39</v>
      </c>
      <c r="K86" s="1" t="s">
        <v>32</v>
      </c>
      <c r="L86" s="1">
        <v>0</v>
      </c>
      <c r="M86" s="1" t="s">
        <v>44</v>
      </c>
      <c r="N86" s="1" t="str">
        <f>TEXT(tblbills[[#This Row],[Date]],"mmm")</f>
        <v>Jul</v>
      </c>
      <c r="O86" s="1" t="str">
        <f>TEXT(tblbills[[#This Row],[Date]],"yyyy")</f>
        <v>2024</v>
      </c>
      <c r="Q86"/>
      <c r="R86"/>
      <c r="S86"/>
      <c r="T86"/>
      <c r="U86"/>
      <c r="V86"/>
    </row>
    <row r="87" spans="1:22" x14ac:dyDescent="0.3">
      <c r="A87" s="1" t="str">
        <f t="shared" si="1"/>
        <v>DE1086</v>
      </c>
      <c r="B87" s="1" t="s">
        <v>19</v>
      </c>
      <c r="C87" s="1" t="s">
        <v>50</v>
      </c>
      <c r="D87" s="1" t="s">
        <v>49</v>
      </c>
      <c r="E87" s="2">
        <v>45479</v>
      </c>
      <c r="F87" s="1">
        <v>3</v>
      </c>
      <c r="G87" s="5">
        <v>613</v>
      </c>
      <c r="H87" s="5">
        <v>1839</v>
      </c>
      <c r="I87" s="1" t="s">
        <v>27</v>
      </c>
      <c r="J87" s="1" t="s">
        <v>47</v>
      </c>
      <c r="K87" s="1" t="s">
        <v>28</v>
      </c>
      <c r="L87" s="1">
        <v>10</v>
      </c>
      <c r="M87" s="1" t="s">
        <v>33</v>
      </c>
      <c r="N87" s="1" t="str">
        <f>TEXT(tblbills[[#This Row],[Date]],"mmm")</f>
        <v>Jul</v>
      </c>
      <c r="O87" s="1" t="str">
        <f>TEXT(tblbills[[#This Row],[Date]],"yyyy")</f>
        <v>2024</v>
      </c>
      <c r="Q87"/>
      <c r="R87"/>
      <c r="S87"/>
      <c r="T87"/>
      <c r="U87"/>
      <c r="V87"/>
    </row>
    <row r="88" spans="1:22" x14ac:dyDescent="0.3">
      <c r="A88" s="1" t="str">
        <f t="shared" si="1"/>
        <v>DE1087</v>
      </c>
      <c r="B88" s="1" t="s">
        <v>19</v>
      </c>
      <c r="C88" s="1" t="s">
        <v>25</v>
      </c>
      <c r="D88" s="1" t="s">
        <v>45</v>
      </c>
      <c r="E88" s="2">
        <v>45478</v>
      </c>
      <c r="F88" s="1">
        <v>3</v>
      </c>
      <c r="G88" s="5">
        <v>2501</v>
      </c>
      <c r="H88" s="5">
        <v>7503</v>
      </c>
      <c r="I88" s="1" t="s">
        <v>15</v>
      </c>
      <c r="J88" s="1" t="s">
        <v>47</v>
      </c>
      <c r="K88" s="1" t="s">
        <v>16</v>
      </c>
      <c r="L88" s="1">
        <v>2</v>
      </c>
      <c r="M88" s="1" t="s">
        <v>44</v>
      </c>
      <c r="N88" s="1" t="str">
        <f>TEXT(tblbills[[#This Row],[Date]],"mmm")</f>
        <v>Jul</v>
      </c>
      <c r="O88" s="1" t="str">
        <f>TEXT(tblbills[[#This Row],[Date]],"yyyy")</f>
        <v>2024</v>
      </c>
      <c r="Q88"/>
      <c r="R88"/>
      <c r="S88"/>
      <c r="T88"/>
      <c r="U88"/>
      <c r="V88"/>
    </row>
    <row r="89" spans="1:22" x14ac:dyDescent="0.3">
      <c r="A89" s="1" t="str">
        <f t="shared" si="1"/>
        <v>DE1088</v>
      </c>
      <c r="B89" s="1" t="s">
        <v>19</v>
      </c>
      <c r="C89" s="1" t="s">
        <v>20</v>
      </c>
      <c r="D89" s="1" t="s">
        <v>65</v>
      </c>
      <c r="E89" s="2">
        <v>45476</v>
      </c>
      <c r="F89" s="1">
        <v>18</v>
      </c>
      <c r="G89" s="5">
        <v>168</v>
      </c>
      <c r="H89" s="5">
        <v>3024</v>
      </c>
      <c r="I89" s="1" t="s">
        <v>22</v>
      </c>
      <c r="J89" s="1" t="s">
        <v>47</v>
      </c>
      <c r="K89" s="1" t="s">
        <v>32</v>
      </c>
      <c r="L89" s="1">
        <v>5</v>
      </c>
      <c r="M89" s="1" t="s">
        <v>44</v>
      </c>
      <c r="N89" s="1" t="str">
        <f>TEXT(tblbills[[#This Row],[Date]],"mmm")</f>
        <v>Jul</v>
      </c>
      <c r="O89" s="1" t="str">
        <f>TEXT(tblbills[[#This Row],[Date]],"yyyy")</f>
        <v>2024</v>
      </c>
      <c r="Q89"/>
      <c r="R89"/>
      <c r="S89"/>
      <c r="T89"/>
      <c r="U89"/>
      <c r="V89"/>
    </row>
    <row r="90" spans="1:22" x14ac:dyDescent="0.3">
      <c r="A90" s="1" t="str">
        <f t="shared" si="1"/>
        <v>DE1089</v>
      </c>
      <c r="B90" s="1" t="s">
        <v>19</v>
      </c>
      <c r="C90" s="1" t="s">
        <v>48</v>
      </c>
      <c r="D90" s="1" t="s">
        <v>57</v>
      </c>
      <c r="E90" s="2">
        <v>45475</v>
      </c>
      <c r="F90" s="1">
        <v>18</v>
      </c>
      <c r="G90" s="5">
        <v>4044</v>
      </c>
      <c r="H90" s="5">
        <v>72792</v>
      </c>
      <c r="I90" s="1" t="s">
        <v>27</v>
      </c>
      <c r="J90" s="1" t="s">
        <v>26</v>
      </c>
      <c r="K90" s="1" t="s">
        <v>32</v>
      </c>
      <c r="L90" s="1">
        <v>0</v>
      </c>
      <c r="M90" s="1" t="s">
        <v>17</v>
      </c>
      <c r="N90" s="1" t="str">
        <f>TEXT(tblbills[[#This Row],[Date]],"mmm")</f>
        <v>Jul</v>
      </c>
      <c r="O90" s="1" t="str">
        <f>TEXT(tblbills[[#This Row],[Date]],"yyyy")</f>
        <v>2024</v>
      </c>
      <c r="Q90"/>
      <c r="R90"/>
      <c r="S90"/>
      <c r="T90"/>
      <c r="U90"/>
      <c r="V90"/>
    </row>
    <row r="91" spans="1:22" x14ac:dyDescent="0.3">
      <c r="A91" s="1" t="str">
        <f t="shared" si="1"/>
        <v>DE1090</v>
      </c>
      <c r="B91" s="1" t="s">
        <v>19</v>
      </c>
      <c r="C91" s="1" t="s">
        <v>50</v>
      </c>
      <c r="D91" s="1" t="s">
        <v>24</v>
      </c>
      <c r="E91" s="2">
        <v>45470</v>
      </c>
      <c r="F91" s="1">
        <v>7</v>
      </c>
      <c r="G91" s="5">
        <v>3072</v>
      </c>
      <c r="H91" s="5">
        <v>21504</v>
      </c>
      <c r="I91" s="1" t="s">
        <v>15</v>
      </c>
      <c r="J91" s="1" t="s">
        <v>47</v>
      </c>
      <c r="K91" s="1" t="s">
        <v>32</v>
      </c>
      <c r="L91" s="1">
        <v>0</v>
      </c>
      <c r="M91" s="1" t="s">
        <v>23</v>
      </c>
      <c r="N91" s="1" t="str">
        <f>TEXT(tblbills[[#This Row],[Date]],"mmm")</f>
        <v>Jun</v>
      </c>
      <c r="O91" s="1" t="str">
        <f>TEXT(tblbills[[#This Row],[Date]],"yyyy")</f>
        <v>2024</v>
      </c>
      <c r="Q91"/>
      <c r="R91"/>
      <c r="S91"/>
      <c r="T91"/>
      <c r="U91"/>
      <c r="V91"/>
    </row>
    <row r="92" spans="1:22" x14ac:dyDescent="0.3">
      <c r="A92" s="1" t="str">
        <f t="shared" si="1"/>
        <v>DE1091</v>
      </c>
      <c r="B92" s="1" t="s">
        <v>19</v>
      </c>
      <c r="C92" s="1" t="s">
        <v>20</v>
      </c>
      <c r="D92" s="1" t="s">
        <v>67</v>
      </c>
      <c r="E92" s="2">
        <v>45454</v>
      </c>
      <c r="F92" s="1">
        <v>2</v>
      </c>
      <c r="G92" s="5">
        <v>2535</v>
      </c>
      <c r="H92" s="5">
        <v>5070</v>
      </c>
      <c r="I92" s="1" t="s">
        <v>15</v>
      </c>
      <c r="J92" s="1" t="s">
        <v>26</v>
      </c>
      <c r="K92" s="1" t="s">
        <v>32</v>
      </c>
      <c r="L92" s="1">
        <v>0</v>
      </c>
      <c r="M92" s="1" t="s">
        <v>23</v>
      </c>
      <c r="N92" s="1" t="str">
        <f>TEXT(tblbills[[#This Row],[Date]],"mmm")</f>
        <v>Jun</v>
      </c>
      <c r="O92" s="1" t="str">
        <f>TEXT(tblbills[[#This Row],[Date]],"yyyy")</f>
        <v>2024</v>
      </c>
      <c r="Q92"/>
      <c r="R92"/>
      <c r="S92"/>
      <c r="T92"/>
      <c r="U92"/>
      <c r="V92"/>
    </row>
    <row r="93" spans="1:22" x14ac:dyDescent="0.3">
      <c r="A93" s="1" t="str">
        <f t="shared" si="1"/>
        <v>DE1092</v>
      </c>
      <c r="B93" s="1" t="s">
        <v>19</v>
      </c>
      <c r="C93" s="1" t="s">
        <v>50</v>
      </c>
      <c r="D93" s="1" t="s">
        <v>78</v>
      </c>
      <c r="E93" s="2">
        <v>45453</v>
      </c>
      <c r="F93" s="1">
        <v>3</v>
      </c>
      <c r="G93" s="5">
        <v>3972</v>
      </c>
      <c r="H93" s="5">
        <v>11916</v>
      </c>
      <c r="I93" s="1" t="s">
        <v>27</v>
      </c>
      <c r="J93" s="1" t="s">
        <v>47</v>
      </c>
      <c r="K93" s="1" t="s">
        <v>16</v>
      </c>
      <c r="L93" s="1">
        <v>0</v>
      </c>
      <c r="M93" s="1" t="s">
        <v>29</v>
      </c>
      <c r="N93" s="1" t="str">
        <f>TEXT(tblbills[[#This Row],[Date]],"mmm")</f>
        <v>Jun</v>
      </c>
      <c r="O93" s="1" t="str">
        <f>TEXT(tblbills[[#This Row],[Date]],"yyyy")</f>
        <v>2024</v>
      </c>
      <c r="Q93"/>
      <c r="R93"/>
      <c r="S93"/>
      <c r="T93"/>
      <c r="U93"/>
      <c r="V93"/>
    </row>
    <row r="94" spans="1:22" x14ac:dyDescent="0.3">
      <c r="A94" s="1" t="str">
        <f t="shared" si="1"/>
        <v>DE1093</v>
      </c>
      <c r="B94" s="1" t="s">
        <v>19</v>
      </c>
      <c r="C94" s="1" t="s">
        <v>48</v>
      </c>
      <c r="D94" s="1" t="s">
        <v>45</v>
      </c>
      <c r="E94" s="2">
        <v>45450</v>
      </c>
      <c r="F94" s="1">
        <v>11</v>
      </c>
      <c r="G94" s="5">
        <v>560</v>
      </c>
      <c r="H94" s="5">
        <v>6160</v>
      </c>
      <c r="I94" s="1" t="s">
        <v>22</v>
      </c>
      <c r="J94" s="1" t="s">
        <v>39</v>
      </c>
      <c r="K94" s="1" t="s">
        <v>28</v>
      </c>
      <c r="L94" s="1">
        <v>7</v>
      </c>
      <c r="M94" s="1" t="s">
        <v>17</v>
      </c>
      <c r="N94" s="1" t="str">
        <f>TEXT(tblbills[[#This Row],[Date]],"mmm")</f>
        <v>Jun</v>
      </c>
      <c r="O94" s="1" t="str">
        <f>TEXT(tblbills[[#This Row],[Date]],"yyyy")</f>
        <v>2024</v>
      </c>
      <c r="Q94"/>
      <c r="R94"/>
      <c r="S94"/>
      <c r="T94"/>
      <c r="U94"/>
      <c r="V94"/>
    </row>
    <row r="95" spans="1:22" x14ac:dyDescent="0.3">
      <c r="A95" s="1" t="str">
        <f t="shared" si="1"/>
        <v>DE1094</v>
      </c>
      <c r="B95" s="1" t="s">
        <v>19</v>
      </c>
      <c r="C95" s="1" t="s">
        <v>20</v>
      </c>
      <c r="D95" s="1" t="s">
        <v>56</v>
      </c>
      <c r="E95" s="2">
        <v>45450</v>
      </c>
      <c r="F95" s="1">
        <v>5</v>
      </c>
      <c r="G95" s="5">
        <v>1114</v>
      </c>
      <c r="H95" s="5">
        <v>5570</v>
      </c>
      <c r="I95" s="1" t="s">
        <v>15</v>
      </c>
      <c r="J95" s="1" t="s">
        <v>59</v>
      </c>
      <c r="K95" s="1" t="s">
        <v>28</v>
      </c>
      <c r="L95" s="1">
        <v>10</v>
      </c>
      <c r="M95" s="1" t="s">
        <v>44</v>
      </c>
      <c r="N95" s="1" t="str">
        <f>TEXT(tblbills[[#This Row],[Date]],"mmm")</f>
        <v>Jun</v>
      </c>
      <c r="O95" s="1" t="str">
        <f>TEXT(tblbills[[#This Row],[Date]],"yyyy")</f>
        <v>2024</v>
      </c>
      <c r="Q95"/>
      <c r="R95"/>
      <c r="S95"/>
      <c r="T95"/>
      <c r="U95"/>
      <c r="V95"/>
    </row>
    <row r="96" spans="1:22" x14ac:dyDescent="0.3">
      <c r="A96" s="1" t="str">
        <f t="shared" si="1"/>
        <v>DE1095</v>
      </c>
      <c r="B96" s="1" t="s">
        <v>19</v>
      </c>
      <c r="C96" s="1" t="s">
        <v>20</v>
      </c>
      <c r="D96" s="1" t="s">
        <v>67</v>
      </c>
      <c r="E96" s="2">
        <v>45445</v>
      </c>
      <c r="F96" s="1">
        <v>4</v>
      </c>
      <c r="G96" s="5">
        <v>1936</v>
      </c>
      <c r="H96" s="5">
        <v>7744</v>
      </c>
      <c r="I96" s="1" t="s">
        <v>22</v>
      </c>
      <c r="J96" s="1" t="s">
        <v>26</v>
      </c>
      <c r="K96" s="1" t="s">
        <v>16</v>
      </c>
      <c r="L96" s="1">
        <v>5</v>
      </c>
      <c r="M96" s="1" t="s">
        <v>29</v>
      </c>
      <c r="N96" s="1" t="str">
        <f>TEXT(tblbills[[#This Row],[Date]],"mmm")</f>
        <v>Jun</v>
      </c>
      <c r="O96" s="1" t="str">
        <f>TEXT(tblbills[[#This Row],[Date]],"yyyy")</f>
        <v>2024</v>
      </c>
      <c r="Q96"/>
      <c r="R96"/>
      <c r="S96"/>
      <c r="T96"/>
      <c r="U96"/>
      <c r="V96"/>
    </row>
    <row r="97" spans="1:22" x14ac:dyDescent="0.3">
      <c r="A97" s="1" t="str">
        <f t="shared" si="1"/>
        <v>DE1096</v>
      </c>
      <c r="B97" s="1" t="s">
        <v>12</v>
      </c>
      <c r="C97" s="1" t="s">
        <v>25</v>
      </c>
      <c r="D97" s="1" t="s">
        <v>76</v>
      </c>
      <c r="E97" s="2">
        <v>45527</v>
      </c>
      <c r="F97" s="1">
        <v>5</v>
      </c>
      <c r="G97" s="5">
        <v>2059</v>
      </c>
      <c r="H97" s="5">
        <v>10295</v>
      </c>
      <c r="I97" s="1" t="s">
        <v>15</v>
      </c>
      <c r="J97" s="1" t="s">
        <v>43</v>
      </c>
      <c r="K97" s="1" t="s">
        <v>16</v>
      </c>
      <c r="L97" s="1">
        <v>0</v>
      </c>
      <c r="M97" s="1" t="s">
        <v>23</v>
      </c>
      <c r="N97" s="1" t="str">
        <f>TEXT(tblbills[[#This Row],[Date]],"mmm")</f>
        <v>Aug</v>
      </c>
      <c r="O97" s="1" t="str">
        <f>TEXT(tblbills[[#This Row],[Date]],"yyyy")</f>
        <v>2024</v>
      </c>
      <c r="Q97"/>
      <c r="R97"/>
      <c r="S97"/>
      <c r="T97"/>
      <c r="U97"/>
      <c r="V97"/>
    </row>
    <row r="98" spans="1:22" x14ac:dyDescent="0.3">
      <c r="A98" s="1" t="str">
        <f t="shared" si="1"/>
        <v>DE1097</v>
      </c>
      <c r="B98" s="1" t="s">
        <v>12</v>
      </c>
      <c r="C98" s="1" t="s">
        <v>55</v>
      </c>
      <c r="D98" s="1" t="s">
        <v>74</v>
      </c>
      <c r="E98" s="2">
        <v>45741</v>
      </c>
      <c r="F98" s="1">
        <v>7</v>
      </c>
      <c r="G98" s="5">
        <v>3228</v>
      </c>
      <c r="H98" s="5">
        <v>22596</v>
      </c>
      <c r="I98" s="1" t="s">
        <v>27</v>
      </c>
      <c r="J98" s="1" t="s">
        <v>26</v>
      </c>
      <c r="K98" s="1" t="s">
        <v>32</v>
      </c>
      <c r="L98" s="1">
        <v>0</v>
      </c>
      <c r="M98" s="1" t="s">
        <v>23</v>
      </c>
      <c r="N98" s="1" t="str">
        <f>TEXT(tblbills[[#This Row],[Date]],"mmm")</f>
        <v>Mar</v>
      </c>
      <c r="O98" s="1" t="str">
        <f>TEXT(tblbills[[#This Row],[Date]],"yyyy")</f>
        <v>2025</v>
      </c>
      <c r="Q98"/>
      <c r="R98"/>
      <c r="S98"/>
      <c r="T98"/>
      <c r="U98"/>
      <c r="V98"/>
    </row>
    <row r="99" spans="1:22" x14ac:dyDescent="0.3">
      <c r="A99" s="1" t="str">
        <f t="shared" si="1"/>
        <v>DE1098</v>
      </c>
      <c r="B99" s="1" t="s">
        <v>12</v>
      </c>
      <c r="C99" s="1" t="s">
        <v>35</v>
      </c>
      <c r="D99" s="1" t="s">
        <v>34</v>
      </c>
      <c r="E99" s="2">
        <v>45739</v>
      </c>
      <c r="F99" s="1">
        <v>10</v>
      </c>
      <c r="G99" s="5">
        <v>3082</v>
      </c>
      <c r="H99" s="5">
        <v>30820</v>
      </c>
      <c r="I99" s="1" t="s">
        <v>15</v>
      </c>
      <c r="J99" s="1" t="s">
        <v>14</v>
      </c>
      <c r="K99" s="1" t="s">
        <v>16</v>
      </c>
      <c r="L99" s="1">
        <v>0</v>
      </c>
      <c r="M99" s="1" t="s">
        <v>29</v>
      </c>
      <c r="N99" s="1" t="str">
        <f>TEXT(tblbills[[#This Row],[Date]],"mmm")</f>
        <v>Mar</v>
      </c>
      <c r="O99" s="1" t="str">
        <f>TEXT(tblbills[[#This Row],[Date]],"yyyy")</f>
        <v>2025</v>
      </c>
      <c r="Q99"/>
      <c r="R99"/>
      <c r="S99"/>
      <c r="T99"/>
      <c r="U99"/>
      <c r="V99"/>
    </row>
    <row r="100" spans="1:22" x14ac:dyDescent="0.3">
      <c r="A100" s="1" t="str">
        <f t="shared" si="1"/>
        <v>DE1099</v>
      </c>
      <c r="B100" s="1" t="s">
        <v>12</v>
      </c>
      <c r="C100" s="1" t="s">
        <v>31</v>
      </c>
      <c r="D100" s="1" t="s">
        <v>78</v>
      </c>
      <c r="E100" s="2">
        <v>45729</v>
      </c>
      <c r="F100" s="1">
        <v>14</v>
      </c>
      <c r="G100" s="5">
        <v>413</v>
      </c>
      <c r="H100" s="5">
        <v>5782</v>
      </c>
      <c r="I100" s="1" t="s">
        <v>15</v>
      </c>
      <c r="J100" s="1" t="s">
        <v>47</v>
      </c>
      <c r="K100" s="1" t="s">
        <v>16</v>
      </c>
      <c r="L100" s="1">
        <v>7</v>
      </c>
      <c r="M100" s="1" t="s">
        <v>17</v>
      </c>
      <c r="N100" s="1" t="str">
        <f>TEXT(tblbills[[#This Row],[Date]],"mmm")</f>
        <v>Mar</v>
      </c>
      <c r="O100" s="1" t="str">
        <f>TEXT(tblbills[[#This Row],[Date]],"yyyy")</f>
        <v>2025</v>
      </c>
      <c r="Q100"/>
      <c r="R100"/>
      <c r="S100"/>
      <c r="T100"/>
      <c r="U100"/>
      <c r="V100"/>
    </row>
    <row r="101" spans="1:22" x14ac:dyDescent="0.3">
      <c r="A101" s="1" t="str">
        <f t="shared" si="1"/>
        <v>DE1100</v>
      </c>
      <c r="B101" s="1" t="s">
        <v>12</v>
      </c>
      <c r="C101" s="1" t="s">
        <v>31</v>
      </c>
      <c r="D101" s="1" t="s">
        <v>36</v>
      </c>
      <c r="E101" s="2">
        <v>45729</v>
      </c>
      <c r="F101" s="1">
        <v>12</v>
      </c>
      <c r="G101" s="5">
        <v>2897</v>
      </c>
      <c r="H101" s="5">
        <v>34764</v>
      </c>
      <c r="I101" s="1" t="s">
        <v>15</v>
      </c>
      <c r="J101" s="1" t="s">
        <v>59</v>
      </c>
      <c r="K101" s="1" t="s">
        <v>16</v>
      </c>
      <c r="L101" s="1">
        <v>5</v>
      </c>
      <c r="M101" s="1" t="s">
        <v>17</v>
      </c>
      <c r="N101" s="1" t="str">
        <f>TEXT(tblbills[[#This Row],[Date]],"mmm")</f>
        <v>Mar</v>
      </c>
      <c r="O101" s="1" t="str">
        <f>TEXT(tblbills[[#This Row],[Date]],"yyyy")</f>
        <v>2025</v>
      </c>
      <c r="Q101"/>
      <c r="R101"/>
      <c r="S101"/>
      <c r="T101"/>
      <c r="U101"/>
      <c r="V101"/>
    </row>
    <row r="102" spans="1:22" x14ac:dyDescent="0.3">
      <c r="A102" s="1" t="str">
        <f t="shared" si="1"/>
        <v>DE1101</v>
      </c>
      <c r="B102" s="1" t="s">
        <v>12</v>
      </c>
      <c r="C102" s="1" t="s">
        <v>31</v>
      </c>
      <c r="D102" s="1" t="s">
        <v>49</v>
      </c>
      <c r="E102" s="2">
        <v>45726</v>
      </c>
      <c r="F102" s="1">
        <v>13</v>
      </c>
      <c r="G102" s="5">
        <v>3209</v>
      </c>
      <c r="H102" s="5">
        <v>41717</v>
      </c>
      <c r="I102" s="1" t="s">
        <v>22</v>
      </c>
      <c r="J102" s="1" t="s">
        <v>47</v>
      </c>
      <c r="K102" s="1" t="s">
        <v>16</v>
      </c>
      <c r="L102" s="1">
        <v>0</v>
      </c>
      <c r="M102" s="1" t="s">
        <v>33</v>
      </c>
      <c r="N102" s="1" t="str">
        <f>TEXT(tblbills[[#This Row],[Date]],"mmm")</f>
        <v>Mar</v>
      </c>
      <c r="O102" s="1" t="str">
        <f>TEXT(tblbills[[#This Row],[Date]],"yyyy")</f>
        <v>2025</v>
      </c>
      <c r="Q102"/>
      <c r="R102"/>
      <c r="S102"/>
      <c r="T102"/>
      <c r="U102"/>
      <c r="V102"/>
    </row>
    <row r="103" spans="1:22" x14ac:dyDescent="0.3">
      <c r="A103" s="1" t="str">
        <f t="shared" si="1"/>
        <v>DE1102</v>
      </c>
      <c r="B103" s="1" t="s">
        <v>12</v>
      </c>
      <c r="C103" s="1" t="s">
        <v>31</v>
      </c>
      <c r="D103" s="1" t="s">
        <v>49</v>
      </c>
      <c r="E103" s="2">
        <v>45722</v>
      </c>
      <c r="F103" s="1">
        <v>12</v>
      </c>
      <c r="G103" s="5">
        <v>4049</v>
      </c>
      <c r="H103" s="5">
        <v>48588</v>
      </c>
      <c r="I103" s="1" t="s">
        <v>22</v>
      </c>
      <c r="J103" s="1" t="s">
        <v>26</v>
      </c>
      <c r="K103" s="1" t="s">
        <v>32</v>
      </c>
      <c r="L103" s="1">
        <v>2</v>
      </c>
      <c r="M103" s="1" t="s">
        <v>23</v>
      </c>
      <c r="N103" s="1" t="str">
        <f>TEXT(tblbills[[#This Row],[Date]],"mmm")</f>
        <v>Mar</v>
      </c>
      <c r="O103" s="1" t="str">
        <f>TEXT(tblbills[[#This Row],[Date]],"yyyy")</f>
        <v>2025</v>
      </c>
      <c r="Q103"/>
      <c r="R103"/>
      <c r="S103"/>
      <c r="T103"/>
      <c r="U103"/>
      <c r="V103"/>
    </row>
    <row r="104" spans="1:22" x14ac:dyDescent="0.3">
      <c r="A104" s="1" t="str">
        <f t="shared" si="1"/>
        <v>DE1103</v>
      </c>
      <c r="B104" s="1" t="s">
        <v>12</v>
      </c>
      <c r="C104" s="1" t="s">
        <v>55</v>
      </c>
      <c r="D104" s="1" t="s">
        <v>56</v>
      </c>
      <c r="E104" s="2">
        <v>45721</v>
      </c>
      <c r="F104" s="1">
        <v>16</v>
      </c>
      <c r="G104" s="5">
        <v>174</v>
      </c>
      <c r="H104" s="5">
        <v>2784</v>
      </c>
      <c r="I104" s="1" t="s">
        <v>27</v>
      </c>
      <c r="J104" s="1" t="s">
        <v>59</v>
      </c>
      <c r="K104" s="1" t="s">
        <v>16</v>
      </c>
      <c r="L104" s="1">
        <v>0</v>
      </c>
      <c r="M104" s="1" t="s">
        <v>17</v>
      </c>
      <c r="N104" s="1" t="str">
        <f>TEXT(tblbills[[#This Row],[Date]],"mmm")</f>
        <v>Mar</v>
      </c>
      <c r="O104" s="1" t="str">
        <f>TEXT(tblbills[[#This Row],[Date]],"yyyy")</f>
        <v>2025</v>
      </c>
      <c r="Q104"/>
      <c r="R104"/>
      <c r="S104"/>
      <c r="T104"/>
      <c r="U104"/>
      <c r="V104"/>
    </row>
    <row r="105" spans="1:22" x14ac:dyDescent="0.3">
      <c r="A105" s="1" t="str">
        <f t="shared" si="1"/>
        <v>DE1104</v>
      </c>
      <c r="B105" s="1" t="s">
        <v>12</v>
      </c>
      <c r="C105" s="1" t="s">
        <v>75</v>
      </c>
      <c r="D105" s="1" t="s">
        <v>45</v>
      </c>
      <c r="E105" s="2">
        <v>45720</v>
      </c>
      <c r="F105" s="1">
        <v>5</v>
      </c>
      <c r="G105" s="5">
        <v>1184</v>
      </c>
      <c r="H105" s="5">
        <v>5920</v>
      </c>
      <c r="I105" s="1" t="s">
        <v>15</v>
      </c>
      <c r="J105" s="1" t="s">
        <v>59</v>
      </c>
      <c r="K105" s="1" t="s">
        <v>16</v>
      </c>
      <c r="L105" s="1">
        <v>10</v>
      </c>
      <c r="M105" s="1" t="s">
        <v>23</v>
      </c>
      <c r="N105" s="1" t="str">
        <f>TEXT(tblbills[[#This Row],[Date]],"mmm")</f>
        <v>Mar</v>
      </c>
      <c r="O105" s="1" t="str">
        <f>TEXT(tblbills[[#This Row],[Date]],"yyyy")</f>
        <v>2025</v>
      </c>
      <c r="Q105"/>
      <c r="R105"/>
      <c r="S105"/>
      <c r="T105"/>
      <c r="U105"/>
      <c r="V105"/>
    </row>
    <row r="106" spans="1:22" x14ac:dyDescent="0.3">
      <c r="A106" s="1" t="str">
        <f t="shared" si="1"/>
        <v>DE1105</v>
      </c>
      <c r="B106" s="1" t="s">
        <v>12</v>
      </c>
      <c r="C106" s="1" t="s">
        <v>31</v>
      </c>
      <c r="D106" s="1" t="s">
        <v>34</v>
      </c>
      <c r="E106" s="2">
        <v>45720</v>
      </c>
      <c r="F106" s="1">
        <v>15</v>
      </c>
      <c r="G106" s="5">
        <v>2039</v>
      </c>
      <c r="H106" s="5">
        <v>30585</v>
      </c>
      <c r="I106" s="1" t="s">
        <v>15</v>
      </c>
      <c r="J106" s="1" t="s">
        <v>59</v>
      </c>
      <c r="K106" s="1" t="s">
        <v>16</v>
      </c>
      <c r="L106" s="1">
        <v>0</v>
      </c>
      <c r="M106" s="1" t="s">
        <v>17</v>
      </c>
      <c r="N106" s="1" t="str">
        <f>TEXT(tblbills[[#This Row],[Date]],"mmm")</f>
        <v>Mar</v>
      </c>
      <c r="O106" s="1" t="str">
        <f>TEXT(tblbills[[#This Row],[Date]],"yyyy")</f>
        <v>2025</v>
      </c>
      <c r="Q106"/>
      <c r="R106"/>
      <c r="S106"/>
      <c r="T106"/>
      <c r="U106"/>
      <c r="V106"/>
    </row>
    <row r="107" spans="1:22" x14ac:dyDescent="0.3">
      <c r="A107" s="1" t="str">
        <f t="shared" si="1"/>
        <v>DE1106</v>
      </c>
      <c r="B107" s="1" t="s">
        <v>12</v>
      </c>
      <c r="C107" s="1" t="s">
        <v>31</v>
      </c>
      <c r="D107" s="1" t="s">
        <v>34</v>
      </c>
      <c r="E107" s="2">
        <v>45718</v>
      </c>
      <c r="F107" s="1">
        <v>12</v>
      </c>
      <c r="G107" s="5">
        <v>877</v>
      </c>
      <c r="H107" s="5">
        <v>10524</v>
      </c>
      <c r="I107" s="1" t="s">
        <v>27</v>
      </c>
      <c r="J107" s="1" t="s">
        <v>47</v>
      </c>
      <c r="K107" s="1" t="s">
        <v>16</v>
      </c>
      <c r="L107" s="1">
        <v>5</v>
      </c>
      <c r="M107" s="1" t="s">
        <v>29</v>
      </c>
      <c r="N107" s="1" t="str">
        <f>TEXT(tblbills[[#This Row],[Date]],"mmm")</f>
        <v>Mar</v>
      </c>
      <c r="O107" s="1" t="str">
        <f>TEXT(tblbills[[#This Row],[Date]],"yyyy")</f>
        <v>2025</v>
      </c>
      <c r="Q107"/>
      <c r="R107"/>
      <c r="S107"/>
      <c r="T107"/>
      <c r="U107"/>
      <c r="V107"/>
    </row>
    <row r="108" spans="1:22" x14ac:dyDescent="0.3">
      <c r="A108" s="1" t="str">
        <f t="shared" si="1"/>
        <v>DE1107</v>
      </c>
      <c r="B108" s="1" t="s">
        <v>12</v>
      </c>
      <c r="C108" s="1" t="s">
        <v>46</v>
      </c>
      <c r="D108" s="1" t="s">
        <v>56</v>
      </c>
      <c r="E108" s="2">
        <v>45717</v>
      </c>
      <c r="F108" s="1">
        <v>8</v>
      </c>
      <c r="G108" s="5">
        <v>2303</v>
      </c>
      <c r="H108" s="5">
        <v>18424</v>
      </c>
      <c r="I108" s="1" t="s">
        <v>15</v>
      </c>
      <c r="J108" s="1" t="s">
        <v>59</v>
      </c>
      <c r="K108" s="1" t="s">
        <v>32</v>
      </c>
      <c r="L108" s="1">
        <v>0</v>
      </c>
      <c r="M108" s="1" t="s">
        <v>23</v>
      </c>
      <c r="N108" s="1" t="str">
        <f>TEXT(tblbills[[#This Row],[Date]],"mmm")</f>
        <v>Mar</v>
      </c>
      <c r="O108" s="1" t="str">
        <f>TEXT(tblbills[[#This Row],[Date]],"yyyy")</f>
        <v>2025</v>
      </c>
      <c r="Q108"/>
      <c r="R108"/>
      <c r="S108"/>
      <c r="T108"/>
      <c r="U108"/>
      <c r="V108"/>
    </row>
    <row r="109" spans="1:22" x14ac:dyDescent="0.3">
      <c r="A109" s="1" t="str">
        <f t="shared" si="1"/>
        <v>DE1108</v>
      </c>
      <c r="B109" s="1" t="s">
        <v>12</v>
      </c>
      <c r="C109" s="1" t="s">
        <v>46</v>
      </c>
      <c r="D109" s="1" t="s">
        <v>57</v>
      </c>
      <c r="E109" s="2">
        <v>45712</v>
      </c>
      <c r="F109" s="1">
        <v>14</v>
      </c>
      <c r="G109" s="5">
        <v>3400</v>
      </c>
      <c r="H109" s="5">
        <v>47600</v>
      </c>
      <c r="I109" s="1" t="s">
        <v>27</v>
      </c>
      <c r="J109" s="1" t="s">
        <v>43</v>
      </c>
      <c r="K109" s="1" t="s">
        <v>32</v>
      </c>
      <c r="L109" s="1">
        <v>0</v>
      </c>
      <c r="M109" s="1" t="s">
        <v>23</v>
      </c>
      <c r="N109" s="1" t="str">
        <f>TEXT(tblbills[[#This Row],[Date]],"mmm")</f>
        <v>Feb</v>
      </c>
      <c r="O109" s="1" t="str">
        <f>TEXT(tblbills[[#This Row],[Date]],"yyyy")</f>
        <v>2025</v>
      </c>
      <c r="Q109"/>
      <c r="R109"/>
      <c r="S109"/>
      <c r="T109"/>
      <c r="U109"/>
      <c r="V109"/>
    </row>
    <row r="110" spans="1:22" x14ac:dyDescent="0.3">
      <c r="A110" s="1" t="str">
        <f t="shared" si="1"/>
        <v>DE1109</v>
      </c>
      <c r="B110" s="1" t="s">
        <v>12</v>
      </c>
      <c r="C110" s="1" t="s">
        <v>35</v>
      </c>
      <c r="D110" s="1" t="s">
        <v>34</v>
      </c>
      <c r="E110" s="2">
        <v>45705</v>
      </c>
      <c r="F110" s="1">
        <v>4</v>
      </c>
      <c r="G110" s="5">
        <v>4466</v>
      </c>
      <c r="H110" s="5">
        <v>17864</v>
      </c>
      <c r="I110" s="1" t="s">
        <v>27</v>
      </c>
      <c r="J110" s="1" t="s">
        <v>59</v>
      </c>
      <c r="K110" s="1" t="s">
        <v>16</v>
      </c>
      <c r="L110" s="1">
        <v>10</v>
      </c>
      <c r="M110" s="1" t="s">
        <v>23</v>
      </c>
      <c r="N110" s="1" t="str">
        <f>TEXT(tblbills[[#This Row],[Date]],"mmm")</f>
        <v>Feb</v>
      </c>
      <c r="O110" s="1" t="str">
        <f>TEXT(tblbills[[#This Row],[Date]],"yyyy")</f>
        <v>2025</v>
      </c>
      <c r="Q110"/>
      <c r="R110"/>
      <c r="S110"/>
      <c r="T110"/>
      <c r="U110"/>
      <c r="V110"/>
    </row>
    <row r="111" spans="1:22" x14ac:dyDescent="0.3">
      <c r="A111" s="1" t="str">
        <f t="shared" si="1"/>
        <v>DE1110</v>
      </c>
      <c r="B111" s="1" t="s">
        <v>12</v>
      </c>
      <c r="C111" s="1" t="s">
        <v>75</v>
      </c>
      <c r="D111" s="1" t="s">
        <v>30</v>
      </c>
      <c r="E111" s="2">
        <v>45697</v>
      </c>
      <c r="F111" s="1">
        <v>9</v>
      </c>
      <c r="G111" s="5">
        <v>2140</v>
      </c>
      <c r="H111" s="5">
        <v>19260</v>
      </c>
      <c r="I111" s="1" t="s">
        <v>15</v>
      </c>
      <c r="J111" s="1" t="s">
        <v>21</v>
      </c>
      <c r="K111" s="1" t="s">
        <v>28</v>
      </c>
      <c r="L111" s="1">
        <v>0</v>
      </c>
      <c r="M111" s="1" t="s">
        <v>29</v>
      </c>
      <c r="N111" s="1" t="str">
        <f>TEXT(tblbills[[#This Row],[Date]],"mmm")</f>
        <v>Feb</v>
      </c>
      <c r="O111" s="1" t="str">
        <f>TEXT(tblbills[[#This Row],[Date]],"yyyy")</f>
        <v>2025</v>
      </c>
      <c r="Q111"/>
      <c r="R111"/>
      <c r="S111"/>
      <c r="T111"/>
      <c r="U111"/>
      <c r="V111"/>
    </row>
    <row r="112" spans="1:22" x14ac:dyDescent="0.3">
      <c r="A112" s="1" t="str">
        <f t="shared" si="1"/>
        <v>DE1111</v>
      </c>
      <c r="B112" s="1" t="s">
        <v>12</v>
      </c>
      <c r="C112" s="1" t="s">
        <v>55</v>
      </c>
      <c r="D112" s="1" t="s">
        <v>18</v>
      </c>
      <c r="E112" s="2">
        <v>45695</v>
      </c>
      <c r="F112" s="1">
        <v>9</v>
      </c>
      <c r="G112" s="5">
        <v>3810</v>
      </c>
      <c r="H112" s="5">
        <v>34290</v>
      </c>
      <c r="I112" s="1" t="s">
        <v>22</v>
      </c>
      <c r="J112" s="1" t="s">
        <v>26</v>
      </c>
      <c r="K112" s="1" t="s">
        <v>32</v>
      </c>
      <c r="L112" s="1">
        <v>0</v>
      </c>
      <c r="M112" s="1" t="s">
        <v>29</v>
      </c>
      <c r="N112" s="1" t="str">
        <f>TEXT(tblbills[[#This Row],[Date]],"mmm")</f>
        <v>Feb</v>
      </c>
      <c r="O112" s="1" t="str">
        <f>TEXT(tblbills[[#This Row],[Date]],"yyyy")</f>
        <v>2025</v>
      </c>
      <c r="Q112"/>
      <c r="R112"/>
      <c r="S112"/>
      <c r="T112"/>
      <c r="U112"/>
      <c r="V112"/>
    </row>
    <row r="113" spans="1:22" x14ac:dyDescent="0.3">
      <c r="A113" s="1" t="str">
        <f t="shared" si="1"/>
        <v>DE1112</v>
      </c>
      <c r="B113" s="1" t="s">
        <v>12</v>
      </c>
      <c r="C113" s="1" t="s">
        <v>75</v>
      </c>
      <c r="D113" s="1" t="s">
        <v>45</v>
      </c>
      <c r="E113" s="2">
        <v>45694</v>
      </c>
      <c r="F113" s="1">
        <v>13</v>
      </c>
      <c r="G113" s="5">
        <v>3977</v>
      </c>
      <c r="H113" s="5">
        <v>51701</v>
      </c>
      <c r="I113" s="1" t="s">
        <v>22</v>
      </c>
      <c r="J113" s="1" t="s">
        <v>47</v>
      </c>
      <c r="K113" s="1" t="s">
        <v>32</v>
      </c>
      <c r="L113" s="1">
        <v>0</v>
      </c>
      <c r="M113" s="1" t="s">
        <v>33</v>
      </c>
      <c r="N113" s="1" t="str">
        <f>TEXT(tblbills[[#This Row],[Date]],"mmm")</f>
        <v>Feb</v>
      </c>
      <c r="O113" s="1" t="str">
        <f>TEXT(tblbills[[#This Row],[Date]],"yyyy")</f>
        <v>2025</v>
      </c>
      <c r="Q113"/>
      <c r="R113"/>
      <c r="S113"/>
      <c r="T113"/>
      <c r="U113"/>
      <c r="V113"/>
    </row>
    <row r="114" spans="1:22" x14ac:dyDescent="0.3">
      <c r="A114" s="1" t="str">
        <f t="shared" si="1"/>
        <v>DE1113</v>
      </c>
      <c r="B114" s="1" t="s">
        <v>12</v>
      </c>
      <c r="C114" s="1" t="s">
        <v>35</v>
      </c>
      <c r="D114" s="1" t="s">
        <v>77</v>
      </c>
      <c r="E114" s="2">
        <v>45691</v>
      </c>
      <c r="F114" s="1">
        <v>3</v>
      </c>
      <c r="G114" s="5">
        <v>2888</v>
      </c>
      <c r="H114" s="5">
        <v>8664</v>
      </c>
      <c r="I114" s="1" t="s">
        <v>22</v>
      </c>
      <c r="J114" s="1" t="s">
        <v>43</v>
      </c>
      <c r="K114" s="1" t="s">
        <v>16</v>
      </c>
      <c r="L114" s="1">
        <v>2</v>
      </c>
      <c r="M114" s="1" t="s">
        <v>29</v>
      </c>
      <c r="N114" s="1" t="str">
        <f>TEXT(tblbills[[#This Row],[Date]],"mmm")</f>
        <v>Feb</v>
      </c>
      <c r="O114" s="1" t="str">
        <f>TEXT(tblbills[[#This Row],[Date]],"yyyy")</f>
        <v>2025</v>
      </c>
      <c r="Q114"/>
      <c r="R114"/>
      <c r="S114"/>
      <c r="T114"/>
      <c r="U114"/>
      <c r="V114"/>
    </row>
    <row r="115" spans="1:22" x14ac:dyDescent="0.3">
      <c r="A115" s="1" t="str">
        <f t="shared" si="1"/>
        <v>DE1114</v>
      </c>
      <c r="B115" s="1" t="s">
        <v>12</v>
      </c>
      <c r="C115" s="1" t="s">
        <v>13</v>
      </c>
      <c r="D115" s="1" t="s">
        <v>74</v>
      </c>
      <c r="E115" s="2">
        <v>45685</v>
      </c>
      <c r="F115" s="1">
        <v>14</v>
      </c>
      <c r="G115" s="5">
        <v>2825</v>
      </c>
      <c r="H115" s="5">
        <v>39550</v>
      </c>
      <c r="I115" s="1" t="s">
        <v>15</v>
      </c>
      <c r="J115" s="1" t="s">
        <v>14</v>
      </c>
      <c r="K115" s="1" t="s">
        <v>16</v>
      </c>
      <c r="L115" s="1">
        <v>0</v>
      </c>
      <c r="M115" s="1" t="s">
        <v>33</v>
      </c>
      <c r="N115" s="1" t="str">
        <f>TEXT(tblbills[[#This Row],[Date]],"mmm")</f>
        <v>Jan</v>
      </c>
      <c r="O115" s="1" t="str">
        <f>TEXT(tblbills[[#This Row],[Date]],"yyyy")</f>
        <v>2025</v>
      </c>
      <c r="Q115"/>
      <c r="R115"/>
      <c r="S115"/>
      <c r="T115"/>
      <c r="U115"/>
      <c r="V115"/>
    </row>
    <row r="116" spans="1:22" x14ac:dyDescent="0.3">
      <c r="A116" s="1" t="str">
        <f t="shared" si="1"/>
        <v>DE1115</v>
      </c>
      <c r="B116" s="1" t="s">
        <v>12</v>
      </c>
      <c r="C116" s="1" t="s">
        <v>46</v>
      </c>
      <c r="D116" s="1" t="s">
        <v>40</v>
      </c>
      <c r="E116" s="2">
        <v>45674</v>
      </c>
      <c r="F116" s="1">
        <v>11</v>
      </c>
      <c r="G116" s="5">
        <v>727</v>
      </c>
      <c r="H116" s="5">
        <v>7997</v>
      </c>
      <c r="I116" s="1" t="s">
        <v>22</v>
      </c>
      <c r="J116" s="1" t="s">
        <v>14</v>
      </c>
      <c r="K116" s="1" t="s">
        <v>28</v>
      </c>
      <c r="L116" s="1">
        <v>10</v>
      </c>
      <c r="M116" s="1" t="s">
        <v>23</v>
      </c>
      <c r="N116" s="1" t="str">
        <f>TEXT(tblbills[[#This Row],[Date]],"mmm")</f>
        <v>Jan</v>
      </c>
      <c r="O116" s="1" t="str">
        <f>TEXT(tblbills[[#This Row],[Date]],"yyyy")</f>
        <v>2025</v>
      </c>
      <c r="Q116"/>
      <c r="R116"/>
      <c r="S116"/>
      <c r="T116"/>
      <c r="U116"/>
      <c r="V116"/>
    </row>
    <row r="117" spans="1:22" x14ac:dyDescent="0.3">
      <c r="A117" s="1" t="str">
        <f t="shared" si="1"/>
        <v>DE1116</v>
      </c>
      <c r="B117" s="1" t="s">
        <v>12</v>
      </c>
      <c r="C117" s="1" t="s">
        <v>31</v>
      </c>
      <c r="D117" s="1" t="s">
        <v>76</v>
      </c>
      <c r="E117" s="2">
        <v>45671</v>
      </c>
      <c r="F117" s="1">
        <v>4</v>
      </c>
      <c r="G117" s="5">
        <v>943</v>
      </c>
      <c r="H117" s="5">
        <v>3772</v>
      </c>
      <c r="I117" s="1" t="s">
        <v>27</v>
      </c>
      <c r="J117" s="1" t="s">
        <v>14</v>
      </c>
      <c r="K117" s="1" t="s">
        <v>28</v>
      </c>
      <c r="L117" s="1">
        <v>0</v>
      </c>
      <c r="M117" s="1" t="s">
        <v>44</v>
      </c>
      <c r="N117" s="1" t="str">
        <f>TEXT(tblbills[[#This Row],[Date]],"mmm")</f>
        <v>Jan</v>
      </c>
      <c r="O117" s="1" t="str">
        <f>TEXT(tblbills[[#This Row],[Date]],"yyyy")</f>
        <v>2025</v>
      </c>
      <c r="Q117"/>
      <c r="R117"/>
      <c r="S117"/>
      <c r="T117"/>
      <c r="U117"/>
      <c r="V117"/>
    </row>
    <row r="118" spans="1:22" x14ac:dyDescent="0.3">
      <c r="A118" s="1" t="str">
        <f t="shared" si="1"/>
        <v>DE1117</v>
      </c>
      <c r="B118" s="1" t="s">
        <v>12</v>
      </c>
      <c r="C118" s="1" t="s">
        <v>55</v>
      </c>
      <c r="D118" s="1" t="s">
        <v>40</v>
      </c>
      <c r="E118" s="2">
        <v>45671</v>
      </c>
      <c r="F118" s="1">
        <v>12</v>
      </c>
      <c r="G118" s="5">
        <v>1899</v>
      </c>
      <c r="H118" s="5">
        <v>22788</v>
      </c>
      <c r="I118" s="1" t="s">
        <v>27</v>
      </c>
      <c r="J118" s="1" t="s">
        <v>39</v>
      </c>
      <c r="K118" s="1" t="s">
        <v>16</v>
      </c>
      <c r="L118" s="1">
        <v>0</v>
      </c>
      <c r="M118" s="1" t="s">
        <v>29</v>
      </c>
      <c r="N118" s="1" t="str">
        <f>TEXT(tblbills[[#This Row],[Date]],"mmm")</f>
        <v>Jan</v>
      </c>
      <c r="O118" s="1" t="str">
        <f>TEXT(tblbills[[#This Row],[Date]],"yyyy")</f>
        <v>2025</v>
      </c>
      <c r="Q118"/>
      <c r="R118"/>
      <c r="S118"/>
      <c r="T118"/>
      <c r="U118"/>
      <c r="V118"/>
    </row>
    <row r="119" spans="1:22" x14ac:dyDescent="0.3">
      <c r="A119" s="1" t="str">
        <f t="shared" si="1"/>
        <v>DE1118</v>
      </c>
      <c r="B119" s="1" t="s">
        <v>12</v>
      </c>
      <c r="C119" s="1" t="s">
        <v>55</v>
      </c>
      <c r="D119" s="1" t="s">
        <v>62</v>
      </c>
      <c r="E119" s="2">
        <v>45668</v>
      </c>
      <c r="F119" s="1">
        <v>15</v>
      </c>
      <c r="G119" s="5">
        <v>1837</v>
      </c>
      <c r="H119" s="5">
        <v>27555</v>
      </c>
      <c r="I119" s="1" t="s">
        <v>22</v>
      </c>
      <c r="J119" s="1" t="s">
        <v>59</v>
      </c>
      <c r="K119" s="1" t="s">
        <v>32</v>
      </c>
      <c r="L119" s="1">
        <v>7</v>
      </c>
      <c r="M119" s="1" t="s">
        <v>23</v>
      </c>
      <c r="N119" s="1" t="str">
        <f>TEXT(tblbills[[#This Row],[Date]],"mmm")</f>
        <v>Jan</v>
      </c>
      <c r="O119" s="1" t="str">
        <f>TEXT(tblbills[[#This Row],[Date]],"yyyy")</f>
        <v>2025</v>
      </c>
      <c r="Q119"/>
      <c r="R119"/>
      <c r="S119"/>
      <c r="T119"/>
      <c r="U119"/>
      <c r="V119"/>
    </row>
    <row r="120" spans="1:22" x14ac:dyDescent="0.3">
      <c r="A120" s="1" t="str">
        <f t="shared" si="1"/>
        <v>DE1119</v>
      </c>
      <c r="B120" s="1" t="s">
        <v>12</v>
      </c>
      <c r="C120" s="1" t="s">
        <v>35</v>
      </c>
      <c r="D120" s="1" t="s">
        <v>11</v>
      </c>
      <c r="E120" s="2">
        <v>45666</v>
      </c>
      <c r="F120" s="1">
        <v>19</v>
      </c>
      <c r="G120" s="5">
        <v>630</v>
      </c>
      <c r="H120" s="5">
        <v>11970</v>
      </c>
      <c r="I120" s="1" t="s">
        <v>27</v>
      </c>
      <c r="J120" s="1" t="s">
        <v>39</v>
      </c>
      <c r="K120" s="1" t="s">
        <v>32</v>
      </c>
      <c r="L120" s="1">
        <v>10</v>
      </c>
      <c r="M120" s="1" t="s">
        <v>44</v>
      </c>
      <c r="N120" s="1" t="str">
        <f>TEXT(tblbills[[#This Row],[Date]],"mmm")</f>
        <v>Jan</v>
      </c>
      <c r="O120" s="1" t="str">
        <f>TEXT(tblbills[[#This Row],[Date]],"yyyy")</f>
        <v>2025</v>
      </c>
      <c r="Q120"/>
      <c r="R120"/>
      <c r="S120"/>
      <c r="T120"/>
      <c r="U120"/>
      <c r="V120"/>
    </row>
    <row r="121" spans="1:22" x14ac:dyDescent="0.3">
      <c r="A121" s="1" t="str">
        <f t="shared" si="1"/>
        <v>DE1120</v>
      </c>
      <c r="B121" s="1" t="s">
        <v>12</v>
      </c>
      <c r="C121" s="1" t="s">
        <v>46</v>
      </c>
      <c r="D121" s="1" t="s">
        <v>76</v>
      </c>
      <c r="E121" s="2">
        <v>45663</v>
      </c>
      <c r="F121" s="1">
        <v>7</v>
      </c>
      <c r="G121" s="5">
        <v>2992</v>
      </c>
      <c r="H121" s="5">
        <v>20944</v>
      </c>
      <c r="I121" s="1" t="s">
        <v>15</v>
      </c>
      <c r="J121" s="1" t="s">
        <v>21</v>
      </c>
      <c r="K121" s="1" t="s">
        <v>28</v>
      </c>
      <c r="L121" s="1">
        <v>10</v>
      </c>
      <c r="M121" s="1" t="s">
        <v>17</v>
      </c>
      <c r="N121" s="1" t="str">
        <f>TEXT(tblbills[[#This Row],[Date]],"mmm")</f>
        <v>Jan</v>
      </c>
      <c r="O121" s="1" t="str">
        <f>TEXT(tblbills[[#This Row],[Date]],"yyyy")</f>
        <v>2025</v>
      </c>
      <c r="Q121"/>
      <c r="R121"/>
      <c r="S121"/>
      <c r="T121"/>
      <c r="U121"/>
      <c r="V121"/>
    </row>
    <row r="122" spans="1:22" x14ac:dyDescent="0.3">
      <c r="A122" s="1" t="str">
        <f t="shared" si="1"/>
        <v>DE1121</v>
      </c>
      <c r="B122" s="1" t="s">
        <v>12</v>
      </c>
      <c r="C122" s="1" t="s">
        <v>35</v>
      </c>
      <c r="D122" s="1" t="s">
        <v>78</v>
      </c>
      <c r="E122" s="2">
        <v>45662</v>
      </c>
      <c r="F122" s="1">
        <v>19</v>
      </c>
      <c r="G122" s="5">
        <v>1554</v>
      </c>
      <c r="H122" s="5">
        <v>29526</v>
      </c>
      <c r="I122" s="1" t="s">
        <v>15</v>
      </c>
      <c r="J122" s="1" t="s">
        <v>43</v>
      </c>
      <c r="K122" s="1" t="s">
        <v>16</v>
      </c>
      <c r="L122" s="1">
        <v>7</v>
      </c>
      <c r="M122" s="1" t="s">
        <v>17</v>
      </c>
      <c r="N122" s="1" t="str">
        <f>TEXT(tblbills[[#This Row],[Date]],"mmm")</f>
        <v>Jan</v>
      </c>
      <c r="O122" s="1" t="str">
        <f>TEXT(tblbills[[#This Row],[Date]],"yyyy")</f>
        <v>2025</v>
      </c>
      <c r="Q122"/>
      <c r="R122"/>
      <c r="S122"/>
      <c r="T122"/>
      <c r="U122"/>
      <c r="V122"/>
    </row>
    <row r="123" spans="1:22" x14ac:dyDescent="0.3">
      <c r="A123" s="1" t="str">
        <f t="shared" si="1"/>
        <v>DE1122</v>
      </c>
      <c r="B123" s="1" t="s">
        <v>12</v>
      </c>
      <c r="C123" s="1" t="s">
        <v>13</v>
      </c>
      <c r="D123" s="1" t="s">
        <v>74</v>
      </c>
      <c r="E123" s="2">
        <v>45662</v>
      </c>
      <c r="F123" s="1">
        <v>16</v>
      </c>
      <c r="G123" s="5">
        <v>3410</v>
      </c>
      <c r="H123" s="5">
        <v>54560</v>
      </c>
      <c r="I123" s="1" t="s">
        <v>22</v>
      </c>
      <c r="J123" s="1" t="s">
        <v>43</v>
      </c>
      <c r="K123" s="1" t="s">
        <v>28</v>
      </c>
      <c r="L123" s="1">
        <v>0</v>
      </c>
      <c r="M123" s="1" t="s">
        <v>17</v>
      </c>
      <c r="N123" s="1" t="str">
        <f>TEXT(tblbills[[#This Row],[Date]],"mmm")</f>
        <v>Jan</v>
      </c>
      <c r="O123" s="1" t="str">
        <f>TEXT(tblbills[[#This Row],[Date]],"yyyy")</f>
        <v>2025</v>
      </c>
      <c r="Q123"/>
      <c r="R123"/>
      <c r="S123"/>
      <c r="T123"/>
      <c r="U123"/>
      <c r="V123"/>
    </row>
    <row r="124" spans="1:22" x14ac:dyDescent="0.3">
      <c r="A124" s="1" t="str">
        <f t="shared" si="1"/>
        <v>DE1123</v>
      </c>
      <c r="B124" s="1" t="s">
        <v>12</v>
      </c>
      <c r="C124" s="1" t="s">
        <v>75</v>
      </c>
      <c r="D124" s="1" t="s">
        <v>65</v>
      </c>
      <c r="E124" s="2">
        <v>45657</v>
      </c>
      <c r="F124" s="1">
        <v>11</v>
      </c>
      <c r="G124" s="5">
        <v>1017</v>
      </c>
      <c r="H124" s="5">
        <v>11187</v>
      </c>
      <c r="I124" s="1" t="s">
        <v>22</v>
      </c>
      <c r="J124" s="1" t="s">
        <v>26</v>
      </c>
      <c r="K124" s="1" t="s">
        <v>16</v>
      </c>
      <c r="L124" s="1">
        <v>0</v>
      </c>
      <c r="M124" s="1" t="s">
        <v>44</v>
      </c>
      <c r="N124" s="1" t="str">
        <f>TEXT(tblbills[[#This Row],[Date]],"mmm")</f>
        <v>Dec</v>
      </c>
      <c r="O124" s="1" t="str">
        <f>TEXT(tblbills[[#This Row],[Date]],"yyyy")</f>
        <v>2024</v>
      </c>
      <c r="Q124"/>
      <c r="R124"/>
      <c r="S124"/>
      <c r="T124"/>
      <c r="U124"/>
      <c r="V124"/>
    </row>
    <row r="125" spans="1:22" x14ac:dyDescent="0.3">
      <c r="A125" s="1" t="str">
        <f t="shared" si="1"/>
        <v>DE1124</v>
      </c>
      <c r="B125" s="1" t="s">
        <v>12</v>
      </c>
      <c r="C125" s="1" t="s">
        <v>13</v>
      </c>
      <c r="D125" s="1" t="s">
        <v>11</v>
      </c>
      <c r="E125" s="2">
        <v>45655</v>
      </c>
      <c r="F125" s="1">
        <v>2</v>
      </c>
      <c r="G125" s="5">
        <v>172</v>
      </c>
      <c r="H125" s="5">
        <v>344</v>
      </c>
      <c r="I125" s="1" t="s">
        <v>22</v>
      </c>
      <c r="J125" s="1" t="s">
        <v>59</v>
      </c>
      <c r="K125" s="1" t="s">
        <v>28</v>
      </c>
      <c r="L125" s="1">
        <v>7</v>
      </c>
      <c r="M125" s="1" t="s">
        <v>29</v>
      </c>
      <c r="N125" s="1" t="str">
        <f>TEXT(tblbills[[#This Row],[Date]],"mmm")</f>
        <v>Dec</v>
      </c>
      <c r="O125" s="1" t="str">
        <f>TEXT(tblbills[[#This Row],[Date]],"yyyy")</f>
        <v>2024</v>
      </c>
      <c r="Q125"/>
      <c r="R125"/>
      <c r="S125"/>
      <c r="T125"/>
      <c r="U125"/>
      <c r="V125"/>
    </row>
    <row r="126" spans="1:22" x14ac:dyDescent="0.3">
      <c r="A126" s="1" t="str">
        <f t="shared" si="1"/>
        <v>DE1125</v>
      </c>
      <c r="B126" s="1" t="s">
        <v>12</v>
      </c>
      <c r="C126" s="1" t="s">
        <v>13</v>
      </c>
      <c r="D126" s="1" t="s">
        <v>36</v>
      </c>
      <c r="E126" s="2">
        <v>45655</v>
      </c>
      <c r="F126" s="1">
        <v>8</v>
      </c>
      <c r="G126" s="5">
        <v>4377</v>
      </c>
      <c r="H126" s="5">
        <v>35016</v>
      </c>
      <c r="I126" s="1" t="s">
        <v>22</v>
      </c>
      <c r="J126" s="1" t="s">
        <v>43</v>
      </c>
      <c r="K126" s="1" t="s">
        <v>16</v>
      </c>
      <c r="L126" s="1">
        <v>0</v>
      </c>
      <c r="M126" s="1" t="s">
        <v>33</v>
      </c>
      <c r="N126" s="1" t="str">
        <f>TEXT(tblbills[[#This Row],[Date]],"mmm")</f>
        <v>Dec</v>
      </c>
      <c r="O126" s="1" t="str">
        <f>TEXT(tblbills[[#This Row],[Date]],"yyyy")</f>
        <v>2024</v>
      </c>
      <c r="Q126"/>
      <c r="R126"/>
      <c r="S126"/>
      <c r="T126"/>
      <c r="U126"/>
      <c r="V126"/>
    </row>
    <row r="127" spans="1:22" x14ac:dyDescent="0.3">
      <c r="A127" s="1" t="str">
        <f t="shared" si="1"/>
        <v>DE1126</v>
      </c>
      <c r="B127" s="1" t="s">
        <v>12</v>
      </c>
      <c r="C127" s="1" t="s">
        <v>46</v>
      </c>
      <c r="D127" s="1" t="s">
        <v>74</v>
      </c>
      <c r="E127" s="2">
        <v>45653</v>
      </c>
      <c r="F127" s="1">
        <v>16</v>
      </c>
      <c r="G127" s="5">
        <v>1270</v>
      </c>
      <c r="H127" s="5">
        <v>20320</v>
      </c>
      <c r="I127" s="1" t="s">
        <v>22</v>
      </c>
      <c r="J127" s="1" t="s">
        <v>26</v>
      </c>
      <c r="K127" s="1" t="s">
        <v>28</v>
      </c>
      <c r="L127" s="1">
        <v>0</v>
      </c>
      <c r="M127" s="1" t="s">
        <v>23</v>
      </c>
      <c r="N127" s="1" t="str">
        <f>TEXT(tblbills[[#This Row],[Date]],"mmm")</f>
        <v>Dec</v>
      </c>
      <c r="O127" s="1" t="str">
        <f>TEXT(tblbills[[#This Row],[Date]],"yyyy")</f>
        <v>2024</v>
      </c>
      <c r="Q127"/>
      <c r="R127"/>
      <c r="S127"/>
      <c r="T127"/>
      <c r="U127"/>
      <c r="V127"/>
    </row>
    <row r="128" spans="1:22" x14ac:dyDescent="0.3">
      <c r="A128" s="1" t="str">
        <f t="shared" si="1"/>
        <v>DE1127</v>
      </c>
      <c r="B128" s="1" t="s">
        <v>12</v>
      </c>
      <c r="C128" s="1" t="s">
        <v>75</v>
      </c>
      <c r="D128" s="1" t="s">
        <v>78</v>
      </c>
      <c r="E128" s="2">
        <v>45653</v>
      </c>
      <c r="F128" s="1">
        <v>7</v>
      </c>
      <c r="G128" s="5">
        <v>1676</v>
      </c>
      <c r="H128" s="5">
        <v>11732</v>
      </c>
      <c r="I128" s="1" t="s">
        <v>22</v>
      </c>
      <c r="J128" s="1" t="s">
        <v>14</v>
      </c>
      <c r="K128" s="1" t="s">
        <v>32</v>
      </c>
      <c r="L128" s="1">
        <v>7</v>
      </c>
      <c r="M128" s="1" t="s">
        <v>44</v>
      </c>
      <c r="N128" s="1" t="str">
        <f>TEXT(tblbills[[#This Row],[Date]],"mmm")</f>
        <v>Dec</v>
      </c>
      <c r="O128" s="1" t="str">
        <f>TEXT(tblbills[[#This Row],[Date]],"yyyy")</f>
        <v>2024</v>
      </c>
      <c r="Q128"/>
      <c r="R128"/>
      <c r="S128"/>
      <c r="T128"/>
      <c r="U128"/>
      <c r="V128"/>
    </row>
    <row r="129" spans="1:22" x14ac:dyDescent="0.3">
      <c r="A129" s="1" t="str">
        <f t="shared" si="1"/>
        <v>DE1128</v>
      </c>
      <c r="B129" s="1" t="s">
        <v>12</v>
      </c>
      <c r="C129" s="1" t="s">
        <v>13</v>
      </c>
      <c r="D129" s="1" t="s">
        <v>18</v>
      </c>
      <c r="E129" s="2">
        <v>45651</v>
      </c>
      <c r="F129" s="1">
        <v>10</v>
      </c>
      <c r="G129" s="5">
        <v>1935</v>
      </c>
      <c r="H129" s="5">
        <v>19350</v>
      </c>
      <c r="I129" s="1" t="s">
        <v>22</v>
      </c>
      <c r="J129" s="1" t="s">
        <v>26</v>
      </c>
      <c r="K129" s="1" t="s">
        <v>32</v>
      </c>
      <c r="L129" s="1">
        <v>2</v>
      </c>
      <c r="M129" s="1" t="s">
        <v>33</v>
      </c>
      <c r="N129" s="1" t="str">
        <f>TEXT(tblbills[[#This Row],[Date]],"mmm")</f>
        <v>Dec</v>
      </c>
      <c r="O129" s="1" t="str">
        <f>TEXT(tblbills[[#This Row],[Date]],"yyyy")</f>
        <v>2024</v>
      </c>
      <c r="Q129"/>
      <c r="R129"/>
      <c r="S129"/>
      <c r="T129"/>
      <c r="U129"/>
      <c r="V129"/>
    </row>
    <row r="130" spans="1:22" x14ac:dyDescent="0.3">
      <c r="A130" s="1" t="str">
        <f t="shared" si="1"/>
        <v>DE1129</v>
      </c>
      <c r="B130" s="1" t="s">
        <v>12</v>
      </c>
      <c r="C130" s="1" t="s">
        <v>46</v>
      </c>
      <c r="D130" s="1" t="s">
        <v>45</v>
      </c>
      <c r="E130" s="2">
        <v>45649</v>
      </c>
      <c r="F130" s="1">
        <v>2</v>
      </c>
      <c r="G130" s="5">
        <v>2704</v>
      </c>
      <c r="H130" s="5">
        <v>5408</v>
      </c>
      <c r="I130" s="1" t="s">
        <v>15</v>
      </c>
      <c r="J130" s="1" t="s">
        <v>47</v>
      </c>
      <c r="K130" s="1" t="s">
        <v>16</v>
      </c>
      <c r="L130" s="1">
        <v>0</v>
      </c>
      <c r="M130" s="1" t="s">
        <v>33</v>
      </c>
      <c r="N130" s="1" t="str">
        <f>TEXT(tblbills[[#This Row],[Date]],"mmm")</f>
        <v>Dec</v>
      </c>
      <c r="O130" s="1" t="str">
        <f>TEXT(tblbills[[#This Row],[Date]],"yyyy")</f>
        <v>2024</v>
      </c>
      <c r="Q130"/>
      <c r="R130"/>
      <c r="S130"/>
      <c r="T130"/>
      <c r="U130"/>
      <c r="V130"/>
    </row>
    <row r="131" spans="1:22" x14ac:dyDescent="0.3">
      <c r="A131" s="1" t="str">
        <f t="shared" ref="A131:A194" si="2">"DE"&amp;ROW()+999</f>
        <v>DE1130</v>
      </c>
      <c r="B131" s="1" t="s">
        <v>12</v>
      </c>
      <c r="C131" s="1" t="s">
        <v>35</v>
      </c>
      <c r="D131" s="1" t="s">
        <v>45</v>
      </c>
      <c r="E131" s="2">
        <v>45643</v>
      </c>
      <c r="F131" s="1">
        <v>7</v>
      </c>
      <c r="G131" s="5">
        <v>3993</v>
      </c>
      <c r="H131" s="5">
        <v>27951</v>
      </c>
      <c r="I131" s="1" t="s">
        <v>15</v>
      </c>
      <c r="J131" s="1" t="s">
        <v>26</v>
      </c>
      <c r="K131" s="1" t="s">
        <v>16</v>
      </c>
      <c r="L131" s="1">
        <v>0</v>
      </c>
      <c r="M131" s="1" t="s">
        <v>44</v>
      </c>
      <c r="N131" s="1" t="str">
        <f>TEXT(tblbills[[#This Row],[Date]],"mmm")</f>
        <v>Dec</v>
      </c>
      <c r="O131" s="1" t="str">
        <f>TEXT(tblbills[[#This Row],[Date]],"yyyy")</f>
        <v>2024</v>
      </c>
      <c r="Q131"/>
      <c r="R131"/>
      <c r="S131"/>
      <c r="T131"/>
      <c r="U131"/>
      <c r="V131"/>
    </row>
    <row r="132" spans="1:22" x14ac:dyDescent="0.3">
      <c r="A132" s="1" t="str">
        <f t="shared" si="2"/>
        <v>DE1131</v>
      </c>
      <c r="B132" s="1" t="s">
        <v>12</v>
      </c>
      <c r="C132" s="1" t="s">
        <v>35</v>
      </c>
      <c r="D132" s="1" t="s">
        <v>40</v>
      </c>
      <c r="E132" s="2">
        <v>45640</v>
      </c>
      <c r="F132" s="1">
        <v>20</v>
      </c>
      <c r="G132" s="5">
        <v>4273</v>
      </c>
      <c r="H132" s="5">
        <v>85460</v>
      </c>
      <c r="I132" s="1" t="s">
        <v>22</v>
      </c>
      <c r="J132" s="1" t="s">
        <v>21</v>
      </c>
      <c r="K132" s="1" t="s">
        <v>28</v>
      </c>
      <c r="L132" s="1">
        <v>2</v>
      </c>
      <c r="M132" s="1" t="s">
        <v>44</v>
      </c>
      <c r="N132" s="1" t="str">
        <f>TEXT(tblbills[[#This Row],[Date]],"mmm")</f>
        <v>Dec</v>
      </c>
      <c r="O132" s="1" t="str">
        <f>TEXT(tblbills[[#This Row],[Date]],"yyyy")</f>
        <v>2024</v>
      </c>
      <c r="Q132"/>
      <c r="R132"/>
      <c r="S132"/>
      <c r="T132"/>
      <c r="U132"/>
      <c r="V132"/>
    </row>
    <row r="133" spans="1:22" x14ac:dyDescent="0.3">
      <c r="A133" s="1" t="str">
        <f t="shared" si="2"/>
        <v>DE1132</v>
      </c>
      <c r="B133" s="1" t="s">
        <v>12</v>
      </c>
      <c r="C133" s="1" t="s">
        <v>13</v>
      </c>
      <c r="D133" s="1" t="s">
        <v>77</v>
      </c>
      <c r="E133" s="2">
        <v>45635</v>
      </c>
      <c r="F133" s="1">
        <v>18</v>
      </c>
      <c r="G133" s="5">
        <v>1753</v>
      </c>
      <c r="H133" s="5">
        <v>31554</v>
      </c>
      <c r="I133" s="1" t="s">
        <v>22</v>
      </c>
      <c r="J133" s="1" t="s">
        <v>26</v>
      </c>
      <c r="K133" s="1" t="s">
        <v>28</v>
      </c>
      <c r="L133" s="1">
        <v>7</v>
      </c>
      <c r="M133" s="1" t="s">
        <v>23</v>
      </c>
      <c r="N133" s="1" t="str">
        <f>TEXT(tblbills[[#This Row],[Date]],"mmm")</f>
        <v>Dec</v>
      </c>
      <c r="O133" s="1" t="str">
        <f>TEXT(tblbills[[#This Row],[Date]],"yyyy")</f>
        <v>2024</v>
      </c>
      <c r="Q133"/>
      <c r="R133"/>
      <c r="S133"/>
      <c r="T133"/>
      <c r="U133"/>
      <c r="V133"/>
    </row>
    <row r="134" spans="1:22" x14ac:dyDescent="0.3">
      <c r="A134" s="1" t="str">
        <f t="shared" si="2"/>
        <v>DE1133</v>
      </c>
      <c r="B134" s="1" t="s">
        <v>12</v>
      </c>
      <c r="C134" s="1" t="s">
        <v>35</v>
      </c>
      <c r="D134" s="1" t="s">
        <v>67</v>
      </c>
      <c r="E134" s="2">
        <v>45631</v>
      </c>
      <c r="F134" s="1">
        <v>4</v>
      </c>
      <c r="G134" s="5">
        <v>1651</v>
      </c>
      <c r="H134" s="5">
        <v>6604</v>
      </c>
      <c r="I134" s="1" t="s">
        <v>27</v>
      </c>
      <c r="J134" s="1" t="s">
        <v>39</v>
      </c>
      <c r="K134" s="1" t="s">
        <v>32</v>
      </c>
      <c r="L134" s="1">
        <v>7</v>
      </c>
      <c r="M134" s="1" t="s">
        <v>17</v>
      </c>
      <c r="N134" s="1" t="str">
        <f>TEXT(tblbills[[#This Row],[Date]],"mmm")</f>
        <v>Dec</v>
      </c>
      <c r="O134" s="1" t="str">
        <f>TEXT(tblbills[[#This Row],[Date]],"yyyy")</f>
        <v>2024</v>
      </c>
      <c r="Q134"/>
      <c r="R134"/>
      <c r="S134"/>
      <c r="T134"/>
      <c r="U134"/>
      <c r="V134"/>
    </row>
    <row r="135" spans="1:22" x14ac:dyDescent="0.3">
      <c r="A135" s="1" t="str">
        <f t="shared" si="2"/>
        <v>DE1134</v>
      </c>
      <c r="B135" s="1" t="s">
        <v>12</v>
      </c>
      <c r="C135" s="1" t="s">
        <v>31</v>
      </c>
      <c r="D135" s="1" t="s">
        <v>30</v>
      </c>
      <c r="E135" s="2">
        <v>45620</v>
      </c>
      <c r="F135" s="1">
        <v>4</v>
      </c>
      <c r="G135" s="5">
        <v>3060</v>
      </c>
      <c r="H135" s="5">
        <v>12240</v>
      </c>
      <c r="I135" s="1" t="s">
        <v>15</v>
      </c>
      <c r="J135" s="1" t="s">
        <v>26</v>
      </c>
      <c r="K135" s="1" t="s">
        <v>32</v>
      </c>
      <c r="L135" s="1">
        <v>5</v>
      </c>
      <c r="M135" s="1" t="s">
        <v>33</v>
      </c>
      <c r="N135" s="1" t="str">
        <f>TEXT(tblbills[[#This Row],[Date]],"mmm")</f>
        <v>Nov</v>
      </c>
      <c r="O135" s="1" t="str">
        <f>TEXT(tblbills[[#This Row],[Date]],"yyyy")</f>
        <v>2024</v>
      </c>
      <c r="Q135"/>
      <c r="R135"/>
      <c r="S135"/>
      <c r="T135"/>
      <c r="U135"/>
      <c r="V135"/>
    </row>
    <row r="136" spans="1:22" x14ac:dyDescent="0.3">
      <c r="A136" s="1" t="str">
        <f t="shared" si="2"/>
        <v>DE1135</v>
      </c>
      <c r="B136" s="1" t="s">
        <v>12</v>
      </c>
      <c r="C136" s="1" t="s">
        <v>13</v>
      </c>
      <c r="D136" s="1" t="s">
        <v>49</v>
      </c>
      <c r="E136" s="2">
        <v>45614</v>
      </c>
      <c r="F136" s="1">
        <v>2</v>
      </c>
      <c r="G136" s="5">
        <v>1242</v>
      </c>
      <c r="H136" s="5">
        <v>2484</v>
      </c>
      <c r="I136" s="1" t="s">
        <v>27</v>
      </c>
      <c r="J136" s="1" t="s">
        <v>21</v>
      </c>
      <c r="K136" s="1" t="s">
        <v>16</v>
      </c>
      <c r="L136" s="1">
        <v>5</v>
      </c>
      <c r="M136" s="1" t="s">
        <v>44</v>
      </c>
      <c r="N136" s="1" t="str">
        <f>TEXT(tblbills[[#This Row],[Date]],"mmm")</f>
        <v>Nov</v>
      </c>
      <c r="O136" s="1" t="str">
        <f>TEXT(tblbills[[#This Row],[Date]],"yyyy")</f>
        <v>2024</v>
      </c>
      <c r="Q136"/>
      <c r="R136"/>
      <c r="S136"/>
      <c r="T136"/>
      <c r="U136"/>
      <c r="V136"/>
    </row>
    <row r="137" spans="1:22" x14ac:dyDescent="0.3">
      <c r="A137" s="1" t="str">
        <f t="shared" si="2"/>
        <v>DE1136</v>
      </c>
      <c r="B137" s="1" t="s">
        <v>12</v>
      </c>
      <c r="C137" s="1" t="s">
        <v>55</v>
      </c>
      <c r="D137" s="1" t="s">
        <v>45</v>
      </c>
      <c r="E137" s="2">
        <v>45612</v>
      </c>
      <c r="F137" s="1">
        <v>7</v>
      </c>
      <c r="G137" s="5">
        <v>3384</v>
      </c>
      <c r="H137" s="5">
        <v>23688</v>
      </c>
      <c r="I137" s="1" t="s">
        <v>15</v>
      </c>
      <c r="J137" s="1" t="s">
        <v>59</v>
      </c>
      <c r="K137" s="1" t="s">
        <v>32</v>
      </c>
      <c r="L137" s="1">
        <v>7</v>
      </c>
      <c r="M137" s="1" t="s">
        <v>17</v>
      </c>
      <c r="N137" s="1" t="str">
        <f>TEXT(tblbills[[#This Row],[Date]],"mmm")</f>
        <v>Nov</v>
      </c>
      <c r="O137" s="1" t="str">
        <f>TEXT(tblbills[[#This Row],[Date]],"yyyy")</f>
        <v>2024</v>
      </c>
      <c r="Q137"/>
      <c r="R137"/>
      <c r="S137"/>
      <c r="T137"/>
      <c r="U137"/>
      <c r="V137"/>
    </row>
    <row r="138" spans="1:22" x14ac:dyDescent="0.3">
      <c r="A138" s="1" t="str">
        <f t="shared" si="2"/>
        <v>DE1137</v>
      </c>
      <c r="B138" s="1" t="s">
        <v>12</v>
      </c>
      <c r="C138" s="1" t="s">
        <v>35</v>
      </c>
      <c r="D138" s="1" t="s">
        <v>30</v>
      </c>
      <c r="E138" s="2">
        <v>45609</v>
      </c>
      <c r="F138" s="1">
        <v>2</v>
      </c>
      <c r="G138" s="5">
        <v>3659</v>
      </c>
      <c r="H138" s="5">
        <v>7318</v>
      </c>
      <c r="I138" s="1" t="s">
        <v>15</v>
      </c>
      <c r="J138" s="1" t="s">
        <v>26</v>
      </c>
      <c r="K138" s="1" t="s">
        <v>28</v>
      </c>
      <c r="L138" s="1">
        <v>7</v>
      </c>
      <c r="M138" s="1" t="s">
        <v>44</v>
      </c>
      <c r="N138" s="1" t="str">
        <f>TEXT(tblbills[[#This Row],[Date]],"mmm")</f>
        <v>Nov</v>
      </c>
      <c r="O138" s="1" t="str">
        <f>TEXT(tblbills[[#This Row],[Date]],"yyyy")</f>
        <v>2024</v>
      </c>
      <c r="Q138"/>
      <c r="R138"/>
      <c r="S138"/>
      <c r="T138"/>
      <c r="U138"/>
      <c r="V138"/>
    </row>
    <row r="139" spans="1:22" x14ac:dyDescent="0.3">
      <c r="A139" s="1" t="str">
        <f t="shared" si="2"/>
        <v>DE1138</v>
      </c>
      <c r="B139" s="1" t="s">
        <v>12</v>
      </c>
      <c r="C139" s="1" t="s">
        <v>35</v>
      </c>
      <c r="D139" s="1" t="s">
        <v>18</v>
      </c>
      <c r="E139" s="2">
        <v>45608</v>
      </c>
      <c r="F139" s="1">
        <v>14</v>
      </c>
      <c r="G139" s="5">
        <v>1959</v>
      </c>
      <c r="H139" s="5">
        <v>27426</v>
      </c>
      <c r="I139" s="1" t="s">
        <v>22</v>
      </c>
      <c r="J139" s="1" t="s">
        <v>43</v>
      </c>
      <c r="K139" s="1" t="s">
        <v>32</v>
      </c>
      <c r="L139" s="1">
        <v>10</v>
      </c>
      <c r="M139" s="1" t="s">
        <v>17</v>
      </c>
      <c r="N139" s="1" t="str">
        <f>TEXT(tblbills[[#This Row],[Date]],"mmm")</f>
        <v>Nov</v>
      </c>
      <c r="O139" s="1" t="str">
        <f>TEXT(tblbills[[#This Row],[Date]],"yyyy")</f>
        <v>2024</v>
      </c>
      <c r="Q139"/>
      <c r="R139"/>
      <c r="S139"/>
      <c r="T139"/>
      <c r="U139"/>
      <c r="V139"/>
    </row>
    <row r="140" spans="1:22" x14ac:dyDescent="0.3">
      <c r="A140" s="1" t="str">
        <f t="shared" si="2"/>
        <v>DE1139</v>
      </c>
      <c r="B140" s="1" t="s">
        <v>12</v>
      </c>
      <c r="C140" s="1" t="s">
        <v>35</v>
      </c>
      <c r="D140" s="1" t="s">
        <v>79</v>
      </c>
      <c r="E140" s="2">
        <v>45602</v>
      </c>
      <c r="F140" s="1">
        <v>5</v>
      </c>
      <c r="G140" s="5">
        <v>2985</v>
      </c>
      <c r="H140" s="5">
        <v>14925</v>
      </c>
      <c r="I140" s="1" t="s">
        <v>22</v>
      </c>
      <c r="J140" s="1" t="s">
        <v>39</v>
      </c>
      <c r="K140" s="1" t="s">
        <v>28</v>
      </c>
      <c r="L140" s="1">
        <v>0</v>
      </c>
      <c r="M140" s="1" t="s">
        <v>44</v>
      </c>
      <c r="N140" s="1" t="str">
        <f>TEXT(tblbills[[#This Row],[Date]],"mmm")</f>
        <v>Nov</v>
      </c>
      <c r="O140" s="1" t="str">
        <f>TEXT(tblbills[[#This Row],[Date]],"yyyy")</f>
        <v>2024</v>
      </c>
      <c r="Q140"/>
      <c r="R140"/>
      <c r="S140"/>
      <c r="T140"/>
      <c r="U140"/>
      <c r="V140"/>
    </row>
    <row r="141" spans="1:22" x14ac:dyDescent="0.3">
      <c r="A141" s="1" t="str">
        <f t="shared" si="2"/>
        <v>DE1140</v>
      </c>
      <c r="B141" s="1" t="s">
        <v>12</v>
      </c>
      <c r="C141" s="1" t="s">
        <v>13</v>
      </c>
      <c r="D141" s="1" t="s">
        <v>11</v>
      </c>
      <c r="E141" s="2">
        <v>45597</v>
      </c>
      <c r="F141" s="1">
        <v>11</v>
      </c>
      <c r="G141" s="5">
        <v>3131</v>
      </c>
      <c r="H141" s="5">
        <v>34441</v>
      </c>
      <c r="I141" s="1" t="s">
        <v>15</v>
      </c>
      <c r="J141" s="1" t="s">
        <v>43</v>
      </c>
      <c r="K141" s="1" t="s">
        <v>16</v>
      </c>
      <c r="L141" s="1">
        <v>0</v>
      </c>
      <c r="M141" s="1" t="s">
        <v>17</v>
      </c>
      <c r="N141" s="1" t="str">
        <f>TEXT(tblbills[[#This Row],[Date]],"mmm")</f>
        <v>Nov</v>
      </c>
      <c r="O141" s="1" t="str">
        <f>TEXT(tblbills[[#This Row],[Date]],"yyyy")</f>
        <v>2024</v>
      </c>
      <c r="Q141"/>
      <c r="R141"/>
      <c r="S141"/>
      <c r="T141"/>
      <c r="U141"/>
      <c r="V141"/>
    </row>
    <row r="142" spans="1:22" x14ac:dyDescent="0.3">
      <c r="A142" s="1" t="str">
        <f t="shared" si="2"/>
        <v>DE1141</v>
      </c>
      <c r="B142" s="1" t="s">
        <v>12</v>
      </c>
      <c r="C142" s="1" t="s">
        <v>31</v>
      </c>
      <c r="D142" s="1" t="s">
        <v>24</v>
      </c>
      <c r="E142" s="2">
        <v>45590</v>
      </c>
      <c r="F142" s="1">
        <v>9</v>
      </c>
      <c r="G142" s="5">
        <v>3847</v>
      </c>
      <c r="H142" s="5">
        <v>34623</v>
      </c>
      <c r="I142" s="1" t="s">
        <v>22</v>
      </c>
      <c r="J142" s="1" t="s">
        <v>14</v>
      </c>
      <c r="K142" s="1" t="s">
        <v>16</v>
      </c>
      <c r="L142" s="1">
        <v>7</v>
      </c>
      <c r="M142" s="1" t="s">
        <v>23</v>
      </c>
      <c r="N142" s="1" t="str">
        <f>TEXT(tblbills[[#This Row],[Date]],"mmm")</f>
        <v>Oct</v>
      </c>
      <c r="O142" s="1" t="str">
        <f>TEXT(tblbills[[#This Row],[Date]],"yyyy")</f>
        <v>2024</v>
      </c>
      <c r="Q142"/>
      <c r="R142"/>
      <c r="S142"/>
      <c r="T142"/>
      <c r="U142"/>
      <c r="V142"/>
    </row>
    <row r="143" spans="1:22" x14ac:dyDescent="0.3">
      <c r="A143" s="1" t="str">
        <f t="shared" si="2"/>
        <v>DE1142</v>
      </c>
      <c r="B143" s="1" t="s">
        <v>12</v>
      </c>
      <c r="C143" s="1" t="s">
        <v>31</v>
      </c>
      <c r="D143" s="1" t="s">
        <v>67</v>
      </c>
      <c r="E143" s="2">
        <v>45585</v>
      </c>
      <c r="F143" s="1">
        <v>3</v>
      </c>
      <c r="G143" s="5">
        <v>2874</v>
      </c>
      <c r="H143" s="5">
        <v>8622</v>
      </c>
      <c r="I143" s="1" t="s">
        <v>27</v>
      </c>
      <c r="J143" s="1" t="s">
        <v>59</v>
      </c>
      <c r="K143" s="1" t="s">
        <v>16</v>
      </c>
      <c r="L143" s="1">
        <v>7</v>
      </c>
      <c r="M143" s="1" t="s">
        <v>23</v>
      </c>
      <c r="N143" s="1" t="str">
        <f>TEXT(tblbills[[#This Row],[Date]],"mmm")</f>
        <v>Oct</v>
      </c>
      <c r="O143" s="1" t="str">
        <f>TEXT(tblbills[[#This Row],[Date]],"yyyy")</f>
        <v>2024</v>
      </c>
      <c r="Q143"/>
      <c r="R143"/>
      <c r="S143"/>
      <c r="T143"/>
      <c r="U143"/>
      <c r="V143"/>
    </row>
    <row r="144" spans="1:22" x14ac:dyDescent="0.3">
      <c r="A144" s="1" t="str">
        <f t="shared" si="2"/>
        <v>DE1143</v>
      </c>
      <c r="B144" s="1" t="s">
        <v>12</v>
      </c>
      <c r="C144" s="1" t="s">
        <v>46</v>
      </c>
      <c r="D144" s="1" t="s">
        <v>24</v>
      </c>
      <c r="E144" s="2">
        <v>45584</v>
      </c>
      <c r="F144" s="1">
        <v>9</v>
      </c>
      <c r="G144" s="5">
        <v>2622</v>
      </c>
      <c r="H144" s="5">
        <v>23598</v>
      </c>
      <c r="I144" s="1" t="s">
        <v>27</v>
      </c>
      <c r="J144" s="1" t="s">
        <v>43</v>
      </c>
      <c r="K144" s="1" t="s">
        <v>32</v>
      </c>
      <c r="L144" s="1">
        <v>0</v>
      </c>
      <c r="M144" s="1" t="s">
        <v>44</v>
      </c>
      <c r="N144" s="1" t="str">
        <f>TEXT(tblbills[[#This Row],[Date]],"mmm")</f>
        <v>Oct</v>
      </c>
      <c r="O144" s="1" t="str">
        <f>TEXT(tblbills[[#This Row],[Date]],"yyyy")</f>
        <v>2024</v>
      </c>
      <c r="Q144"/>
      <c r="R144"/>
      <c r="S144"/>
      <c r="T144"/>
      <c r="U144"/>
      <c r="V144"/>
    </row>
    <row r="145" spans="1:22" x14ac:dyDescent="0.3">
      <c r="A145" s="1" t="str">
        <f t="shared" si="2"/>
        <v>DE1144</v>
      </c>
      <c r="B145" s="1" t="s">
        <v>12</v>
      </c>
      <c r="C145" s="1" t="s">
        <v>75</v>
      </c>
      <c r="D145" s="1" t="s">
        <v>74</v>
      </c>
      <c r="E145" s="2">
        <v>45567</v>
      </c>
      <c r="F145" s="1">
        <v>3</v>
      </c>
      <c r="G145" s="5">
        <v>2944</v>
      </c>
      <c r="H145" s="5">
        <v>8832</v>
      </c>
      <c r="I145" s="1" t="s">
        <v>22</v>
      </c>
      <c r="J145" s="1" t="s">
        <v>59</v>
      </c>
      <c r="K145" s="1" t="s">
        <v>32</v>
      </c>
      <c r="L145" s="1">
        <v>0</v>
      </c>
      <c r="M145" s="1" t="s">
        <v>44</v>
      </c>
      <c r="N145" s="1" t="str">
        <f>TEXT(tblbills[[#This Row],[Date]],"mmm")</f>
        <v>Oct</v>
      </c>
      <c r="O145" s="1" t="str">
        <f>TEXT(tblbills[[#This Row],[Date]],"yyyy")</f>
        <v>2024</v>
      </c>
      <c r="Q145"/>
      <c r="R145"/>
      <c r="S145"/>
      <c r="T145"/>
      <c r="U145"/>
      <c r="V145"/>
    </row>
    <row r="146" spans="1:22" x14ac:dyDescent="0.3">
      <c r="A146" s="1" t="str">
        <f t="shared" si="2"/>
        <v>DE1145</v>
      </c>
      <c r="B146" s="1" t="s">
        <v>12</v>
      </c>
      <c r="C146" s="1" t="s">
        <v>13</v>
      </c>
      <c r="D146" s="1" t="s">
        <v>56</v>
      </c>
      <c r="E146" s="2">
        <v>45566</v>
      </c>
      <c r="F146" s="1">
        <v>12</v>
      </c>
      <c r="G146" s="5">
        <v>2639</v>
      </c>
      <c r="H146" s="5">
        <v>31668</v>
      </c>
      <c r="I146" s="1" t="s">
        <v>22</v>
      </c>
      <c r="J146" s="1" t="s">
        <v>39</v>
      </c>
      <c r="K146" s="1" t="s">
        <v>28</v>
      </c>
      <c r="L146" s="1">
        <v>7</v>
      </c>
      <c r="M146" s="1" t="s">
        <v>29</v>
      </c>
      <c r="N146" s="1" t="str">
        <f>TEXT(tblbills[[#This Row],[Date]],"mmm")</f>
        <v>Oct</v>
      </c>
      <c r="O146" s="1" t="str">
        <f>TEXT(tblbills[[#This Row],[Date]],"yyyy")</f>
        <v>2024</v>
      </c>
      <c r="Q146"/>
      <c r="R146"/>
      <c r="S146"/>
      <c r="T146"/>
      <c r="U146"/>
      <c r="V146"/>
    </row>
    <row r="147" spans="1:22" x14ac:dyDescent="0.3">
      <c r="A147" s="1" t="str">
        <f t="shared" si="2"/>
        <v>DE1146</v>
      </c>
      <c r="B147" s="1" t="s">
        <v>12</v>
      </c>
      <c r="C147" s="1" t="s">
        <v>13</v>
      </c>
      <c r="D147" s="1" t="s">
        <v>78</v>
      </c>
      <c r="E147" s="2">
        <v>45560</v>
      </c>
      <c r="F147" s="1">
        <v>12</v>
      </c>
      <c r="G147" s="5">
        <v>3511</v>
      </c>
      <c r="H147" s="5">
        <v>42132</v>
      </c>
      <c r="I147" s="1" t="s">
        <v>27</v>
      </c>
      <c r="J147" s="1" t="s">
        <v>47</v>
      </c>
      <c r="K147" s="1" t="s">
        <v>32</v>
      </c>
      <c r="L147" s="1">
        <v>5</v>
      </c>
      <c r="M147" s="1" t="s">
        <v>17</v>
      </c>
      <c r="N147" s="1" t="str">
        <f>TEXT(tblbills[[#This Row],[Date]],"mmm")</f>
        <v>Sep</v>
      </c>
      <c r="O147" s="1" t="str">
        <f>TEXT(tblbills[[#This Row],[Date]],"yyyy")</f>
        <v>2024</v>
      </c>
      <c r="Q147"/>
      <c r="R147"/>
      <c r="S147"/>
      <c r="T147"/>
      <c r="U147"/>
      <c r="V147"/>
    </row>
    <row r="148" spans="1:22" x14ac:dyDescent="0.3">
      <c r="A148" s="1" t="str">
        <f t="shared" si="2"/>
        <v>DE1147</v>
      </c>
      <c r="B148" s="1" t="s">
        <v>12</v>
      </c>
      <c r="C148" s="1" t="s">
        <v>13</v>
      </c>
      <c r="D148" s="1" t="s">
        <v>11</v>
      </c>
      <c r="E148" s="2">
        <v>45558</v>
      </c>
      <c r="F148" s="1">
        <v>9</v>
      </c>
      <c r="G148" s="5">
        <v>2126</v>
      </c>
      <c r="H148" s="5">
        <v>19134</v>
      </c>
      <c r="I148" s="1" t="s">
        <v>15</v>
      </c>
      <c r="J148" s="1" t="s">
        <v>14</v>
      </c>
      <c r="K148" s="1" t="s">
        <v>16</v>
      </c>
      <c r="L148" s="1">
        <v>5</v>
      </c>
      <c r="M148" s="1" t="s">
        <v>17</v>
      </c>
      <c r="N148" s="1" t="str">
        <f>TEXT(tblbills[[#This Row],[Date]],"mmm")</f>
        <v>Sep</v>
      </c>
      <c r="O148" s="1" t="str">
        <f>TEXT(tblbills[[#This Row],[Date]],"yyyy")</f>
        <v>2024</v>
      </c>
      <c r="Q148"/>
      <c r="R148"/>
      <c r="S148"/>
      <c r="T148"/>
      <c r="U148"/>
      <c r="V148"/>
    </row>
    <row r="149" spans="1:22" x14ac:dyDescent="0.3">
      <c r="A149" s="1" t="str">
        <f t="shared" si="2"/>
        <v>DE1148</v>
      </c>
      <c r="B149" s="1" t="s">
        <v>12</v>
      </c>
      <c r="C149" s="1" t="s">
        <v>46</v>
      </c>
      <c r="D149" s="1" t="s">
        <v>67</v>
      </c>
      <c r="E149" s="2">
        <v>45554</v>
      </c>
      <c r="F149" s="1">
        <v>10</v>
      </c>
      <c r="G149" s="5">
        <v>450</v>
      </c>
      <c r="H149" s="5">
        <v>4500</v>
      </c>
      <c r="I149" s="1" t="s">
        <v>15</v>
      </c>
      <c r="J149" s="1" t="s">
        <v>39</v>
      </c>
      <c r="K149" s="1" t="s">
        <v>28</v>
      </c>
      <c r="L149" s="1">
        <v>0</v>
      </c>
      <c r="M149" s="1" t="s">
        <v>17</v>
      </c>
      <c r="N149" s="1" t="str">
        <f>TEXT(tblbills[[#This Row],[Date]],"mmm")</f>
        <v>Sep</v>
      </c>
      <c r="O149" s="1" t="str">
        <f>TEXT(tblbills[[#This Row],[Date]],"yyyy")</f>
        <v>2024</v>
      </c>
      <c r="Q149"/>
      <c r="R149"/>
      <c r="S149"/>
      <c r="T149"/>
      <c r="U149"/>
      <c r="V149"/>
    </row>
    <row r="150" spans="1:22" x14ac:dyDescent="0.3">
      <c r="A150" s="1" t="str">
        <f t="shared" si="2"/>
        <v>DE1149</v>
      </c>
      <c r="B150" s="1" t="s">
        <v>12</v>
      </c>
      <c r="C150" s="1" t="s">
        <v>55</v>
      </c>
      <c r="D150" s="1" t="s">
        <v>65</v>
      </c>
      <c r="E150" s="2">
        <v>45551</v>
      </c>
      <c r="F150" s="1">
        <v>19</v>
      </c>
      <c r="G150" s="5">
        <v>2288</v>
      </c>
      <c r="H150" s="5">
        <v>43472</v>
      </c>
      <c r="I150" s="1" t="s">
        <v>22</v>
      </c>
      <c r="J150" s="1" t="s">
        <v>43</v>
      </c>
      <c r="K150" s="1" t="s">
        <v>28</v>
      </c>
      <c r="L150" s="1">
        <v>2</v>
      </c>
      <c r="M150" s="1" t="s">
        <v>44</v>
      </c>
      <c r="N150" s="1" t="str">
        <f>TEXT(tblbills[[#This Row],[Date]],"mmm")</f>
        <v>Sep</v>
      </c>
      <c r="O150" s="1" t="str">
        <f>TEXT(tblbills[[#This Row],[Date]],"yyyy")</f>
        <v>2024</v>
      </c>
      <c r="Q150"/>
      <c r="R150"/>
      <c r="S150"/>
      <c r="T150"/>
      <c r="U150"/>
      <c r="V150"/>
    </row>
    <row r="151" spans="1:22" x14ac:dyDescent="0.3">
      <c r="A151" s="1" t="str">
        <f t="shared" si="2"/>
        <v>DE1150</v>
      </c>
      <c r="B151" s="1" t="s">
        <v>12</v>
      </c>
      <c r="C151" s="1" t="s">
        <v>75</v>
      </c>
      <c r="D151" s="1" t="s">
        <v>11</v>
      </c>
      <c r="E151" s="2">
        <v>45548</v>
      </c>
      <c r="F151" s="1">
        <v>3</v>
      </c>
      <c r="G151" s="5">
        <v>4308</v>
      </c>
      <c r="H151" s="5">
        <v>12924</v>
      </c>
      <c r="I151" s="1" t="s">
        <v>27</v>
      </c>
      <c r="J151" s="1" t="s">
        <v>21</v>
      </c>
      <c r="K151" s="1" t="s">
        <v>16</v>
      </c>
      <c r="L151" s="1">
        <v>7</v>
      </c>
      <c r="M151" s="1" t="s">
        <v>44</v>
      </c>
      <c r="N151" s="1" t="str">
        <f>TEXT(tblbills[[#This Row],[Date]],"mmm")</f>
        <v>Sep</v>
      </c>
      <c r="O151" s="1" t="str">
        <f>TEXT(tblbills[[#This Row],[Date]],"yyyy")</f>
        <v>2024</v>
      </c>
      <c r="Q151"/>
      <c r="R151"/>
      <c r="S151"/>
      <c r="T151"/>
      <c r="U151"/>
      <c r="V151"/>
    </row>
    <row r="152" spans="1:22" x14ac:dyDescent="0.3">
      <c r="A152" s="1" t="str">
        <f t="shared" si="2"/>
        <v>DE1151</v>
      </c>
      <c r="B152" s="1" t="s">
        <v>12</v>
      </c>
      <c r="C152" s="1" t="s">
        <v>13</v>
      </c>
      <c r="D152" s="1" t="s">
        <v>45</v>
      </c>
      <c r="E152" s="2">
        <v>45546</v>
      </c>
      <c r="F152" s="1">
        <v>16</v>
      </c>
      <c r="G152" s="5">
        <v>1747</v>
      </c>
      <c r="H152" s="5">
        <v>27952</v>
      </c>
      <c r="I152" s="1" t="s">
        <v>22</v>
      </c>
      <c r="J152" s="1" t="s">
        <v>59</v>
      </c>
      <c r="K152" s="1" t="s">
        <v>32</v>
      </c>
      <c r="L152" s="1">
        <v>7</v>
      </c>
      <c r="M152" s="1" t="s">
        <v>44</v>
      </c>
      <c r="N152" s="1" t="str">
        <f>TEXT(tblbills[[#This Row],[Date]],"mmm")</f>
        <v>Sep</v>
      </c>
      <c r="O152" s="1" t="str">
        <f>TEXT(tblbills[[#This Row],[Date]],"yyyy")</f>
        <v>2024</v>
      </c>
      <c r="Q152"/>
      <c r="R152"/>
      <c r="S152"/>
      <c r="T152"/>
      <c r="U152"/>
      <c r="V152"/>
    </row>
    <row r="153" spans="1:22" x14ac:dyDescent="0.3">
      <c r="A153" s="1" t="str">
        <f t="shared" si="2"/>
        <v>DE1152</v>
      </c>
      <c r="B153" s="1" t="s">
        <v>12</v>
      </c>
      <c r="C153" s="1" t="s">
        <v>75</v>
      </c>
      <c r="D153" s="1" t="s">
        <v>74</v>
      </c>
      <c r="E153" s="2">
        <v>45546</v>
      </c>
      <c r="F153" s="1">
        <v>20</v>
      </c>
      <c r="G153" s="5">
        <v>4054</v>
      </c>
      <c r="H153" s="5">
        <v>81080</v>
      </c>
      <c r="I153" s="1" t="s">
        <v>15</v>
      </c>
      <c r="J153" s="1" t="s">
        <v>47</v>
      </c>
      <c r="K153" s="1" t="s">
        <v>16</v>
      </c>
      <c r="L153" s="1">
        <v>0</v>
      </c>
      <c r="M153" s="1" t="s">
        <v>33</v>
      </c>
      <c r="N153" s="1" t="str">
        <f>TEXT(tblbills[[#This Row],[Date]],"mmm")</f>
        <v>Sep</v>
      </c>
      <c r="O153" s="1" t="str">
        <f>TEXT(tblbills[[#This Row],[Date]],"yyyy")</f>
        <v>2024</v>
      </c>
      <c r="Q153"/>
      <c r="R153"/>
      <c r="S153"/>
      <c r="T153"/>
      <c r="U153"/>
      <c r="V153"/>
    </row>
    <row r="154" spans="1:22" x14ac:dyDescent="0.3">
      <c r="A154" s="1" t="str">
        <f t="shared" si="2"/>
        <v>DE1153</v>
      </c>
      <c r="B154" s="1" t="s">
        <v>12</v>
      </c>
      <c r="C154" s="1" t="s">
        <v>31</v>
      </c>
      <c r="D154" s="1" t="s">
        <v>24</v>
      </c>
      <c r="E154" s="2">
        <v>45545</v>
      </c>
      <c r="F154" s="1">
        <v>4</v>
      </c>
      <c r="G154" s="5">
        <v>2996</v>
      </c>
      <c r="H154" s="5">
        <v>11984</v>
      </c>
      <c r="I154" s="1" t="s">
        <v>22</v>
      </c>
      <c r="J154" s="1" t="s">
        <v>21</v>
      </c>
      <c r="K154" s="1" t="s">
        <v>16</v>
      </c>
      <c r="L154" s="1">
        <v>0</v>
      </c>
      <c r="M154" s="1" t="s">
        <v>44</v>
      </c>
      <c r="N154" s="1" t="str">
        <f>TEXT(tblbills[[#This Row],[Date]],"mmm")</f>
        <v>Sep</v>
      </c>
      <c r="O154" s="1" t="str">
        <f>TEXT(tblbills[[#This Row],[Date]],"yyyy")</f>
        <v>2024</v>
      </c>
      <c r="Q154"/>
      <c r="R154"/>
      <c r="S154"/>
      <c r="T154"/>
      <c r="U154"/>
      <c r="V154"/>
    </row>
    <row r="155" spans="1:22" x14ac:dyDescent="0.3">
      <c r="A155" s="1" t="str">
        <f t="shared" si="2"/>
        <v>DE1154</v>
      </c>
      <c r="B155" s="1" t="s">
        <v>12</v>
      </c>
      <c r="C155" s="1" t="s">
        <v>55</v>
      </c>
      <c r="D155" s="1" t="s">
        <v>11</v>
      </c>
      <c r="E155" s="2">
        <v>45545</v>
      </c>
      <c r="F155" s="1">
        <v>10</v>
      </c>
      <c r="G155" s="5">
        <v>4278</v>
      </c>
      <c r="H155" s="5">
        <v>42780</v>
      </c>
      <c r="I155" s="1" t="s">
        <v>15</v>
      </c>
      <c r="J155" s="1" t="s">
        <v>26</v>
      </c>
      <c r="K155" s="1" t="s">
        <v>16</v>
      </c>
      <c r="L155" s="1">
        <v>0</v>
      </c>
      <c r="M155" s="1" t="s">
        <v>33</v>
      </c>
      <c r="N155" s="1" t="str">
        <f>TEXT(tblbills[[#This Row],[Date]],"mmm")</f>
        <v>Sep</v>
      </c>
      <c r="O155" s="1" t="str">
        <f>TEXT(tblbills[[#This Row],[Date]],"yyyy")</f>
        <v>2024</v>
      </c>
      <c r="Q155"/>
      <c r="R155"/>
      <c r="S155"/>
      <c r="T155"/>
      <c r="U155"/>
      <c r="V155"/>
    </row>
    <row r="156" spans="1:22" x14ac:dyDescent="0.3">
      <c r="A156" s="1" t="str">
        <f t="shared" si="2"/>
        <v>DE1155</v>
      </c>
      <c r="B156" s="1" t="s">
        <v>12</v>
      </c>
      <c r="C156" s="1" t="s">
        <v>46</v>
      </c>
      <c r="D156" s="1" t="s">
        <v>56</v>
      </c>
      <c r="E156" s="2">
        <v>45543</v>
      </c>
      <c r="F156" s="1">
        <v>17</v>
      </c>
      <c r="G156" s="5">
        <v>2462</v>
      </c>
      <c r="H156" s="5">
        <v>41854</v>
      </c>
      <c r="I156" s="1" t="s">
        <v>22</v>
      </c>
      <c r="J156" s="1" t="s">
        <v>59</v>
      </c>
      <c r="K156" s="1" t="s">
        <v>16</v>
      </c>
      <c r="L156" s="1">
        <v>7</v>
      </c>
      <c r="M156" s="1" t="s">
        <v>17</v>
      </c>
      <c r="N156" s="1" t="str">
        <f>TEXT(tblbills[[#This Row],[Date]],"mmm")</f>
        <v>Sep</v>
      </c>
      <c r="O156" s="1" t="str">
        <f>TEXT(tblbills[[#This Row],[Date]],"yyyy")</f>
        <v>2024</v>
      </c>
      <c r="Q156"/>
      <c r="R156"/>
      <c r="S156"/>
      <c r="T156"/>
      <c r="U156"/>
      <c r="V156"/>
    </row>
    <row r="157" spans="1:22" x14ac:dyDescent="0.3">
      <c r="A157" s="1" t="str">
        <f t="shared" si="2"/>
        <v>DE1156</v>
      </c>
      <c r="B157" s="1" t="s">
        <v>12</v>
      </c>
      <c r="C157" s="1" t="s">
        <v>55</v>
      </c>
      <c r="D157" s="1" t="s">
        <v>67</v>
      </c>
      <c r="E157" s="2">
        <v>45535</v>
      </c>
      <c r="F157" s="1">
        <v>9</v>
      </c>
      <c r="G157" s="5">
        <v>389</v>
      </c>
      <c r="H157" s="5">
        <v>3501</v>
      </c>
      <c r="I157" s="1" t="s">
        <v>15</v>
      </c>
      <c r="J157" s="1" t="s">
        <v>47</v>
      </c>
      <c r="K157" s="1" t="s">
        <v>28</v>
      </c>
      <c r="L157" s="1">
        <v>10</v>
      </c>
      <c r="M157" s="1" t="s">
        <v>29</v>
      </c>
      <c r="N157" s="1" t="str">
        <f>TEXT(tblbills[[#This Row],[Date]],"mmm")</f>
        <v>Aug</v>
      </c>
      <c r="O157" s="1" t="str">
        <f>TEXT(tblbills[[#This Row],[Date]],"yyyy")</f>
        <v>2024</v>
      </c>
      <c r="Q157"/>
      <c r="R157"/>
      <c r="S157"/>
      <c r="T157"/>
      <c r="U157"/>
      <c r="V157"/>
    </row>
    <row r="158" spans="1:22" x14ac:dyDescent="0.3">
      <c r="A158" s="1" t="str">
        <f t="shared" si="2"/>
        <v>DE1157</v>
      </c>
      <c r="B158" s="1" t="s">
        <v>12</v>
      </c>
      <c r="C158" s="1" t="s">
        <v>55</v>
      </c>
      <c r="D158" s="1" t="s">
        <v>77</v>
      </c>
      <c r="E158" s="2">
        <v>45533</v>
      </c>
      <c r="F158" s="1">
        <v>10</v>
      </c>
      <c r="G158" s="5">
        <v>2251</v>
      </c>
      <c r="H158" s="5">
        <v>22510</v>
      </c>
      <c r="I158" s="1" t="s">
        <v>27</v>
      </c>
      <c r="J158" s="1" t="s">
        <v>43</v>
      </c>
      <c r="K158" s="1" t="s">
        <v>16</v>
      </c>
      <c r="L158" s="1">
        <v>5</v>
      </c>
      <c r="M158" s="1" t="s">
        <v>29</v>
      </c>
      <c r="N158" s="1" t="str">
        <f>TEXT(tblbills[[#This Row],[Date]],"mmm")</f>
        <v>Aug</v>
      </c>
      <c r="O158" s="1" t="str">
        <f>TEXT(tblbills[[#This Row],[Date]],"yyyy")</f>
        <v>2024</v>
      </c>
      <c r="Q158"/>
      <c r="R158"/>
      <c r="S158"/>
      <c r="T158"/>
      <c r="U158"/>
      <c r="V158"/>
    </row>
    <row r="159" spans="1:22" x14ac:dyDescent="0.3">
      <c r="A159" s="1" t="str">
        <f t="shared" si="2"/>
        <v>DE1158</v>
      </c>
      <c r="B159" s="1" t="s">
        <v>12</v>
      </c>
      <c r="C159" s="1" t="s">
        <v>46</v>
      </c>
      <c r="D159" s="1" t="s">
        <v>30</v>
      </c>
      <c r="E159" s="2">
        <v>45532</v>
      </c>
      <c r="F159" s="1">
        <v>9</v>
      </c>
      <c r="G159" s="5">
        <v>1736</v>
      </c>
      <c r="H159" s="5">
        <v>15624</v>
      </c>
      <c r="I159" s="1" t="s">
        <v>22</v>
      </c>
      <c r="J159" s="1" t="s">
        <v>39</v>
      </c>
      <c r="K159" s="1" t="s">
        <v>28</v>
      </c>
      <c r="L159" s="1">
        <v>10</v>
      </c>
      <c r="M159" s="1" t="s">
        <v>33</v>
      </c>
      <c r="N159" s="1" t="str">
        <f>TEXT(tblbills[[#This Row],[Date]],"mmm")</f>
        <v>Aug</v>
      </c>
      <c r="O159" s="1" t="str">
        <f>TEXT(tblbills[[#This Row],[Date]],"yyyy")</f>
        <v>2024</v>
      </c>
      <c r="Q159"/>
      <c r="R159"/>
      <c r="S159"/>
      <c r="T159"/>
      <c r="U159"/>
      <c r="V159"/>
    </row>
    <row r="160" spans="1:22" x14ac:dyDescent="0.3">
      <c r="A160" s="1" t="str">
        <f t="shared" si="2"/>
        <v>DE1159</v>
      </c>
      <c r="B160" s="1" t="s">
        <v>12</v>
      </c>
      <c r="C160" s="1" t="s">
        <v>13</v>
      </c>
      <c r="D160" s="1" t="s">
        <v>49</v>
      </c>
      <c r="E160" s="2">
        <v>45527</v>
      </c>
      <c r="F160" s="1">
        <v>5</v>
      </c>
      <c r="G160" s="5">
        <v>212</v>
      </c>
      <c r="H160" s="5">
        <v>1060</v>
      </c>
      <c r="I160" s="1" t="s">
        <v>22</v>
      </c>
      <c r="J160" s="1" t="s">
        <v>26</v>
      </c>
      <c r="K160" s="1" t="s">
        <v>16</v>
      </c>
      <c r="L160" s="1">
        <v>0</v>
      </c>
      <c r="M160" s="1" t="s">
        <v>44</v>
      </c>
      <c r="N160" s="1" t="str">
        <f>TEXT(tblbills[[#This Row],[Date]],"mmm")</f>
        <v>Aug</v>
      </c>
      <c r="O160" s="1" t="str">
        <f>TEXT(tblbills[[#This Row],[Date]],"yyyy")</f>
        <v>2024</v>
      </c>
      <c r="Q160"/>
      <c r="R160"/>
      <c r="S160"/>
      <c r="T160"/>
      <c r="U160"/>
      <c r="V160"/>
    </row>
    <row r="161" spans="1:22" x14ac:dyDescent="0.3">
      <c r="A161" s="1" t="str">
        <f t="shared" si="2"/>
        <v>DE1160</v>
      </c>
      <c r="B161" s="1" t="s">
        <v>12</v>
      </c>
      <c r="C161" s="1" t="s">
        <v>13</v>
      </c>
      <c r="D161" s="1" t="s">
        <v>76</v>
      </c>
      <c r="E161" s="2">
        <v>45514</v>
      </c>
      <c r="F161" s="1">
        <v>2</v>
      </c>
      <c r="G161" s="5">
        <v>199</v>
      </c>
      <c r="H161" s="5">
        <v>398</v>
      </c>
      <c r="I161" s="1" t="s">
        <v>27</v>
      </c>
      <c r="J161" s="1" t="s">
        <v>26</v>
      </c>
      <c r="K161" s="1" t="s">
        <v>16</v>
      </c>
      <c r="L161" s="1">
        <v>0</v>
      </c>
      <c r="M161" s="1" t="s">
        <v>44</v>
      </c>
      <c r="N161" s="1" t="str">
        <f>TEXT(tblbills[[#This Row],[Date]],"mmm")</f>
        <v>Aug</v>
      </c>
      <c r="O161" s="1" t="str">
        <f>TEXT(tblbills[[#This Row],[Date]],"yyyy")</f>
        <v>2024</v>
      </c>
      <c r="Q161"/>
      <c r="R161"/>
      <c r="S161"/>
      <c r="T161"/>
      <c r="U161"/>
      <c r="V161"/>
    </row>
    <row r="162" spans="1:22" x14ac:dyDescent="0.3">
      <c r="A162" s="1" t="str">
        <f t="shared" si="2"/>
        <v>DE1161</v>
      </c>
      <c r="B162" s="1" t="s">
        <v>12</v>
      </c>
      <c r="C162" s="1" t="s">
        <v>31</v>
      </c>
      <c r="D162" s="1" t="s">
        <v>79</v>
      </c>
      <c r="E162" s="2">
        <v>45510</v>
      </c>
      <c r="F162" s="1">
        <v>14</v>
      </c>
      <c r="G162" s="5">
        <v>1559</v>
      </c>
      <c r="H162" s="5">
        <v>21826</v>
      </c>
      <c r="I162" s="1" t="s">
        <v>22</v>
      </c>
      <c r="J162" s="1" t="s">
        <v>21</v>
      </c>
      <c r="K162" s="1" t="s">
        <v>16</v>
      </c>
      <c r="L162" s="1">
        <v>5</v>
      </c>
      <c r="M162" s="1" t="s">
        <v>29</v>
      </c>
      <c r="N162" s="1" t="str">
        <f>TEXT(tblbills[[#This Row],[Date]],"mmm")</f>
        <v>Aug</v>
      </c>
      <c r="O162" s="1" t="str">
        <f>TEXT(tblbills[[#This Row],[Date]],"yyyy")</f>
        <v>2024</v>
      </c>
      <c r="Q162"/>
      <c r="R162"/>
      <c r="S162"/>
      <c r="T162"/>
      <c r="U162"/>
      <c r="V162"/>
    </row>
    <row r="163" spans="1:22" x14ac:dyDescent="0.3">
      <c r="A163" s="1" t="str">
        <f t="shared" si="2"/>
        <v>DE1162</v>
      </c>
      <c r="B163" s="1" t="s">
        <v>12</v>
      </c>
      <c r="C163" s="1" t="s">
        <v>31</v>
      </c>
      <c r="D163" s="1" t="s">
        <v>76</v>
      </c>
      <c r="E163" s="2">
        <v>45510</v>
      </c>
      <c r="F163" s="1">
        <v>9</v>
      </c>
      <c r="G163" s="5">
        <v>2284</v>
      </c>
      <c r="H163" s="5">
        <v>20556</v>
      </c>
      <c r="I163" s="1" t="s">
        <v>27</v>
      </c>
      <c r="J163" s="1" t="s">
        <v>21</v>
      </c>
      <c r="K163" s="1" t="s">
        <v>32</v>
      </c>
      <c r="L163" s="1">
        <v>2</v>
      </c>
      <c r="M163" s="1" t="s">
        <v>29</v>
      </c>
      <c r="N163" s="1" t="str">
        <f>TEXT(tblbills[[#This Row],[Date]],"mmm")</f>
        <v>Aug</v>
      </c>
      <c r="O163" s="1" t="str">
        <f>TEXT(tblbills[[#This Row],[Date]],"yyyy")</f>
        <v>2024</v>
      </c>
      <c r="Q163"/>
      <c r="R163"/>
      <c r="S163"/>
      <c r="T163"/>
      <c r="U163"/>
      <c r="V163"/>
    </row>
    <row r="164" spans="1:22" x14ac:dyDescent="0.3">
      <c r="A164" s="1" t="str">
        <f t="shared" si="2"/>
        <v>DE1163</v>
      </c>
      <c r="B164" s="1" t="s">
        <v>12</v>
      </c>
      <c r="C164" s="1" t="s">
        <v>31</v>
      </c>
      <c r="D164" s="1" t="s">
        <v>78</v>
      </c>
      <c r="E164" s="2">
        <v>45507</v>
      </c>
      <c r="F164" s="1">
        <v>15</v>
      </c>
      <c r="G164" s="5">
        <v>3235</v>
      </c>
      <c r="H164" s="5">
        <v>48525</v>
      </c>
      <c r="I164" s="1" t="s">
        <v>27</v>
      </c>
      <c r="J164" s="1" t="s">
        <v>26</v>
      </c>
      <c r="K164" s="1" t="s">
        <v>28</v>
      </c>
      <c r="L164" s="1">
        <v>0</v>
      </c>
      <c r="M164" s="1" t="s">
        <v>44</v>
      </c>
      <c r="N164" s="1" t="str">
        <f>TEXT(tblbills[[#This Row],[Date]],"mmm")</f>
        <v>Aug</v>
      </c>
      <c r="O164" s="1" t="str">
        <f>TEXT(tblbills[[#This Row],[Date]],"yyyy")</f>
        <v>2024</v>
      </c>
      <c r="Q164"/>
      <c r="R164"/>
      <c r="S164"/>
      <c r="T164"/>
      <c r="U164"/>
      <c r="V164"/>
    </row>
    <row r="165" spans="1:22" x14ac:dyDescent="0.3">
      <c r="A165" s="1" t="str">
        <f t="shared" si="2"/>
        <v>DE1164</v>
      </c>
      <c r="B165" s="1" t="s">
        <v>12</v>
      </c>
      <c r="C165" s="1" t="s">
        <v>35</v>
      </c>
      <c r="D165" s="1" t="s">
        <v>51</v>
      </c>
      <c r="E165" s="2">
        <v>45503</v>
      </c>
      <c r="F165" s="1">
        <v>10</v>
      </c>
      <c r="G165" s="5">
        <v>2905</v>
      </c>
      <c r="H165" s="5">
        <v>29050</v>
      </c>
      <c r="I165" s="1" t="s">
        <v>22</v>
      </c>
      <c r="J165" s="1" t="s">
        <v>26</v>
      </c>
      <c r="K165" s="1" t="s">
        <v>32</v>
      </c>
      <c r="L165" s="1">
        <v>7</v>
      </c>
      <c r="M165" s="1" t="s">
        <v>33</v>
      </c>
      <c r="N165" s="1" t="str">
        <f>TEXT(tblbills[[#This Row],[Date]],"mmm")</f>
        <v>Jul</v>
      </c>
      <c r="O165" s="1" t="str">
        <f>TEXT(tblbills[[#This Row],[Date]],"yyyy")</f>
        <v>2024</v>
      </c>
      <c r="Q165"/>
      <c r="R165"/>
      <c r="S165"/>
      <c r="T165"/>
      <c r="U165"/>
      <c r="V165"/>
    </row>
    <row r="166" spans="1:22" x14ac:dyDescent="0.3">
      <c r="A166" s="1" t="str">
        <f t="shared" si="2"/>
        <v>DE1165</v>
      </c>
      <c r="B166" s="1" t="s">
        <v>12</v>
      </c>
      <c r="C166" s="1" t="s">
        <v>46</v>
      </c>
      <c r="D166" s="1" t="s">
        <v>24</v>
      </c>
      <c r="E166" s="2">
        <v>45497</v>
      </c>
      <c r="F166" s="1">
        <v>2</v>
      </c>
      <c r="G166" s="5">
        <v>1425</v>
      </c>
      <c r="H166" s="5">
        <v>2850</v>
      </c>
      <c r="I166" s="1" t="s">
        <v>27</v>
      </c>
      <c r="J166" s="1" t="s">
        <v>21</v>
      </c>
      <c r="K166" s="1" t="s">
        <v>16</v>
      </c>
      <c r="L166" s="1">
        <v>2</v>
      </c>
      <c r="M166" s="1" t="s">
        <v>17</v>
      </c>
      <c r="N166" s="1" t="str">
        <f>TEXT(tblbills[[#This Row],[Date]],"mmm")</f>
        <v>Jul</v>
      </c>
      <c r="O166" s="1" t="str">
        <f>TEXT(tblbills[[#This Row],[Date]],"yyyy")</f>
        <v>2024</v>
      </c>
      <c r="Q166"/>
      <c r="R166"/>
      <c r="S166"/>
      <c r="T166"/>
      <c r="U166"/>
      <c r="V166"/>
    </row>
    <row r="167" spans="1:22" x14ac:dyDescent="0.3">
      <c r="A167" s="1" t="str">
        <f t="shared" si="2"/>
        <v>DE1166</v>
      </c>
      <c r="B167" s="1" t="s">
        <v>12</v>
      </c>
      <c r="C167" s="1" t="s">
        <v>46</v>
      </c>
      <c r="D167" s="1" t="s">
        <v>30</v>
      </c>
      <c r="E167" s="2">
        <v>45495</v>
      </c>
      <c r="F167" s="1">
        <v>7</v>
      </c>
      <c r="G167" s="5">
        <v>671</v>
      </c>
      <c r="H167" s="5">
        <v>4697</v>
      </c>
      <c r="I167" s="1" t="s">
        <v>27</v>
      </c>
      <c r="J167" s="1" t="s">
        <v>47</v>
      </c>
      <c r="K167" s="1" t="s">
        <v>16</v>
      </c>
      <c r="L167" s="1">
        <v>7</v>
      </c>
      <c r="M167" s="1" t="s">
        <v>23</v>
      </c>
      <c r="N167" s="1" t="str">
        <f>TEXT(tblbills[[#This Row],[Date]],"mmm")</f>
        <v>Jul</v>
      </c>
      <c r="O167" s="1" t="str">
        <f>TEXT(tblbills[[#This Row],[Date]],"yyyy")</f>
        <v>2024</v>
      </c>
      <c r="Q167"/>
      <c r="R167"/>
      <c r="S167"/>
      <c r="T167"/>
      <c r="U167"/>
      <c r="V167"/>
    </row>
    <row r="168" spans="1:22" x14ac:dyDescent="0.3">
      <c r="A168" s="1" t="str">
        <f t="shared" si="2"/>
        <v>DE1167</v>
      </c>
      <c r="B168" s="1" t="s">
        <v>12</v>
      </c>
      <c r="C168" s="1" t="s">
        <v>13</v>
      </c>
      <c r="D168" s="1" t="s">
        <v>36</v>
      </c>
      <c r="E168" s="2">
        <v>45493</v>
      </c>
      <c r="F168" s="1">
        <v>3</v>
      </c>
      <c r="G168" s="5">
        <v>3657</v>
      </c>
      <c r="H168" s="5">
        <v>10971</v>
      </c>
      <c r="I168" s="1" t="s">
        <v>15</v>
      </c>
      <c r="J168" s="1" t="s">
        <v>59</v>
      </c>
      <c r="K168" s="1" t="s">
        <v>28</v>
      </c>
      <c r="L168" s="1">
        <v>5</v>
      </c>
      <c r="M168" s="1" t="s">
        <v>29</v>
      </c>
      <c r="N168" s="1" t="str">
        <f>TEXT(tblbills[[#This Row],[Date]],"mmm")</f>
        <v>Jul</v>
      </c>
      <c r="O168" s="1" t="str">
        <f>TEXT(tblbills[[#This Row],[Date]],"yyyy")</f>
        <v>2024</v>
      </c>
      <c r="Q168"/>
      <c r="R168"/>
      <c r="S168"/>
      <c r="T168"/>
      <c r="U168"/>
      <c r="V168"/>
    </row>
    <row r="169" spans="1:22" x14ac:dyDescent="0.3">
      <c r="A169" s="1" t="str">
        <f t="shared" si="2"/>
        <v>DE1168</v>
      </c>
      <c r="B169" s="1" t="s">
        <v>12</v>
      </c>
      <c r="C169" s="1" t="s">
        <v>46</v>
      </c>
      <c r="D169" s="1" t="s">
        <v>78</v>
      </c>
      <c r="E169" s="2">
        <v>45490</v>
      </c>
      <c r="F169" s="1">
        <v>6</v>
      </c>
      <c r="G169" s="5">
        <v>4215</v>
      </c>
      <c r="H169" s="5">
        <v>25290</v>
      </c>
      <c r="I169" s="1" t="s">
        <v>22</v>
      </c>
      <c r="J169" s="1" t="s">
        <v>26</v>
      </c>
      <c r="K169" s="1" t="s">
        <v>28</v>
      </c>
      <c r="L169" s="1">
        <v>0</v>
      </c>
      <c r="M169" s="1" t="s">
        <v>17</v>
      </c>
      <c r="N169" s="1" t="str">
        <f>TEXT(tblbills[[#This Row],[Date]],"mmm")</f>
        <v>Jul</v>
      </c>
      <c r="O169" s="1" t="str">
        <f>TEXT(tblbills[[#This Row],[Date]],"yyyy")</f>
        <v>2024</v>
      </c>
      <c r="Q169"/>
      <c r="R169"/>
      <c r="S169"/>
      <c r="T169"/>
      <c r="U169"/>
      <c r="V169"/>
    </row>
    <row r="170" spans="1:22" x14ac:dyDescent="0.3">
      <c r="A170" s="1" t="str">
        <f t="shared" si="2"/>
        <v>DE1169</v>
      </c>
      <c r="B170" s="1" t="s">
        <v>12</v>
      </c>
      <c r="C170" s="1" t="s">
        <v>75</v>
      </c>
      <c r="D170" s="1" t="s">
        <v>78</v>
      </c>
      <c r="E170" s="2">
        <v>45487</v>
      </c>
      <c r="F170" s="1">
        <v>14</v>
      </c>
      <c r="G170" s="5">
        <v>3296</v>
      </c>
      <c r="H170" s="5">
        <v>46144</v>
      </c>
      <c r="I170" s="1" t="s">
        <v>22</v>
      </c>
      <c r="J170" s="1" t="s">
        <v>39</v>
      </c>
      <c r="K170" s="1" t="s">
        <v>28</v>
      </c>
      <c r="L170" s="1">
        <v>7</v>
      </c>
      <c r="M170" s="1" t="s">
        <v>23</v>
      </c>
      <c r="N170" s="1" t="str">
        <f>TEXT(tblbills[[#This Row],[Date]],"mmm")</f>
        <v>Jul</v>
      </c>
      <c r="O170" s="1" t="str">
        <f>TEXT(tblbills[[#This Row],[Date]],"yyyy")</f>
        <v>2024</v>
      </c>
      <c r="Q170"/>
      <c r="R170"/>
      <c r="S170"/>
      <c r="T170"/>
      <c r="U170"/>
      <c r="V170"/>
    </row>
    <row r="171" spans="1:22" x14ac:dyDescent="0.3">
      <c r="A171" s="1" t="str">
        <f t="shared" si="2"/>
        <v>DE1170</v>
      </c>
      <c r="B171" s="1" t="s">
        <v>12</v>
      </c>
      <c r="C171" s="1" t="s">
        <v>35</v>
      </c>
      <c r="D171" s="1" t="s">
        <v>24</v>
      </c>
      <c r="E171" s="2">
        <v>45485</v>
      </c>
      <c r="F171" s="1">
        <v>8</v>
      </c>
      <c r="G171" s="5">
        <v>445</v>
      </c>
      <c r="H171" s="5">
        <v>3560</v>
      </c>
      <c r="I171" s="1" t="s">
        <v>22</v>
      </c>
      <c r="J171" s="1" t="s">
        <v>14</v>
      </c>
      <c r="K171" s="1" t="s">
        <v>16</v>
      </c>
      <c r="L171" s="1">
        <v>0</v>
      </c>
      <c r="M171" s="1" t="s">
        <v>23</v>
      </c>
      <c r="N171" s="1" t="str">
        <f>TEXT(tblbills[[#This Row],[Date]],"mmm")</f>
        <v>Jul</v>
      </c>
      <c r="O171" s="1" t="str">
        <f>TEXT(tblbills[[#This Row],[Date]],"yyyy")</f>
        <v>2024</v>
      </c>
      <c r="Q171"/>
      <c r="R171"/>
      <c r="S171"/>
      <c r="T171"/>
      <c r="U171"/>
      <c r="V171"/>
    </row>
    <row r="172" spans="1:22" x14ac:dyDescent="0.3">
      <c r="A172" s="1" t="str">
        <f t="shared" si="2"/>
        <v>DE1171</v>
      </c>
      <c r="B172" s="1" t="s">
        <v>12</v>
      </c>
      <c r="C172" s="1" t="s">
        <v>35</v>
      </c>
      <c r="D172" s="1" t="s">
        <v>77</v>
      </c>
      <c r="E172" s="2">
        <v>45482</v>
      </c>
      <c r="F172" s="1">
        <v>19</v>
      </c>
      <c r="G172" s="5">
        <v>2240</v>
      </c>
      <c r="H172" s="5">
        <v>42560</v>
      </c>
      <c r="I172" s="1" t="s">
        <v>15</v>
      </c>
      <c r="J172" s="1" t="s">
        <v>47</v>
      </c>
      <c r="K172" s="1" t="s">
        <v>32</v>
      </c>
      <c r="L172" s="1">
        <v>10</v>
      </c>
      <c r="M172" s="1" t="s">
        <v>29</v>
      </c>
      <c r="N172" s="1" t="str">
        <f>TEXT(tblbills[[#This Row],[Date]],"mmm")</f>
        <v>Jul</v>
      </c>
      <c r="O172" s="1" t="str">
        <f>TEXT(tblbills[[#This Row],[Date]],"yyyy")</f>
        <v>2024</v>
      </c>
      <c r="Q172"/>
      <c r="R172"/>
      <c r="S172"/>
      <c r="T172"/>
      <c r="U172"/>
      <c r="V172"/>
    </row>
    <row r="173" spans="1:22" x14ac:dyDescent="0.3">
      <c r="A173" s="1" t="str">
        <f t="shared" si="2"/>
        <v>DE1172</v>
      </c>
      <c r="B173" s="1" t="s">
        <v>12</v>
      </c>
      <c r="C173" s="1" t="s">
        <v>31</v>
      </c>
      <c r="D173" s="1" t="s">
        <v>40</v>
      </c>
      <c r="E173" s="2">
        <v>45481</v>
      </c>
      <c r="F173" s="1">
        <v>10</v>
      </c>
      <c r="G173" s="5">
        <v>1414</v>
      </c>
      <c r="H173" s="5">
        <v>14140</v>
      </c>
      <c r="I173" s="1" t="s">
        <v>22</v>
      </c>
      <c r="J173" s="1" t="s">
        <v>26</v>
      </c>
      <c r="K173" s="1" t="s">
        <v>16</v>
      </c>
      <c r="L173" s="1">
        <v>2</v>
      </c>
      <c r="M173" s="1" t="s">
        <v>33</v>
      </c>
      <c r="N173" s="1" t="str">
        <f>TEXT(tblbills[[#This Row],[Date]],"mmm")</f>
        <v>Jul</v>
      </c>
      <c r="O173" s="1" t="str">
        <f>TEXT(tblbills[[#This Row],[Date]],"yyyy")</f>
        <v>2024</v>
      </c>
      <c r="Q173"/>
      <c r="R173"/>
      <c r="S173"/>
      <c r="T173"/>
      <c r="U173"/>
      <c r="V173"/>
    </row>
    <row r="174" spans="1:22" x14ac:dyDescent="0.3">
      <c r="A174" s="1" t="str">
        <f t="shared" si="2"/>
        <v>DE1173</v>
      </c>
      <c r="B174" s="1" t="s">
        <v>12</v>
      </c>
      <c r="C174" s="1" t="s">
        <v>75</v>
      </c>
      <c r="D174" s="1" t="s">
        <v>36</v>
      </c>
      <c r="E174" s="2">
        <v>45478</v>
      </c>
      <c r="F174" s="1">
        <v>7</v>
      </c>
      <c r="G174" s="5">
        <v>2164</v>
      </c>
      <c r="H174" s="5">
        <v>15148</v>
      </c>
      <c r="I174" s="1" t="s">
        <v>15</v>
      </c>
      <c r="J174" s="1" t="s">
        <v>26</v>
      </c>
      <c r="K174" s="1" t="s">
        <v>28</v>
      </c>
      <c r="L174" s="1">
        <v>0</v>
      </c>
      <c r="M174" s="1" t="s">
        <v>33</v>
      </c>
      <c r="N174" s="1" t="str">
        <f>TEXT(tblbills[[#This Row],[Date]],"mmm")</f>
        <v>Jul</v>
      </c>
      <c r="O174" s="1" t="str">
        <f>TEXT(tblbills[[#This Row],[Date]],"yyyy")</f>
        <v>2024</v>
      </c>
      <c r="Q174"/>
      <c r="R174"/>
      <c r="S174"/>
      <c r="T174"/>
      <c r="U174"/>
      <c r="V174"/>
    </row>
    <row r="175" spans="1:22" x14ac:dyDescent="0.3">
      <c r="A175" s="1" t="str">
        <f t="shared" si="2"/>
        <v>DE1174</v>
      </c>
      <c r="B175" s="1" t="s">
        <v>12</v>
      </c>
      <c r="C175" s="1" t="s">
        <v>31</v>
      </c>
      <c r="D175" s="1" t="s">
        <v>30</v>
      </c>
      <c r="E175" s="2">
        <v>45468</v>
      </c>
      <c r="F175" s="1">
        <v>9</v>
      </c>
      <c r="G175" s="5">
        <v>4500</v>
      </c>
      <c r="H175" s="5">
        <v>40500</v>
      </c>
      <c r="I175" s="1" t="s">
        <v>22</v>
      </c>
      <c r="J175" s="1" t="s">
        <v>47</v>
      </c>
      <c r="K175" s="1" t="s">
        <v>16</v>
      </c>
      <c r="L175" s="1">
        <v>10</v>
      </c>
      <c r="M175" s="1" t="s">
        <v>29</v>
      </c>
      <c r="N175" s="1" t="str">
        <f>TEXT(tblbills[[#This Row],[Date]],"mmm")</f>
        <v>Jun</v>
      </c>
      <c r="O175" s="1" t="str">
        <f>TEXT(tblbills[[#This Row],[Date]],"yyyy")</f>
        <v>2024</v>
      </c>
      <c r="Q175"/>
      <c r="R175"/>
      <c r="S175"/>
      <c r="T175"/>
      <c r="U175"/>
      <c r="V175"/>
    </row>
    <row r="176" spans="1:22" x14ac:dyDescent="0.3">
      <c r="A176" s="1" t="str">
        <f t="shared" si="2"/>
        <v>DE1175</v>
      </c>
      <c r="B176" s="1" t="s">
        <v>12</v>
      </c>
      <c r="C176" s="1" t="s">
        <v>46</v>
      </c>
      <c r="D176" s="1" t="s">
        <v>77</v>
      </c>
      <c r="E176" s="2">
        <v>45466</v>
      </c>
      <c r="F176" s="1">
        <v>17</v>
      </c>
      <c r="G176" s="5">
        <v>141</v>
      </c>
      <c r="H176" s="5">
        <v>2397</v>
      </c>
      <c r="I176" s="1" t="s">
        <v>15</v>
      </c>
      <c r="J176" s="1" t="s">
        <v>39</v>
      </c>
      <c r="K176" s="1" t="s">
        <v>32</v>
      </c>
      <c r="L176" s="1">
        <v>2</v>
      </c>
      <c r="M176" s="1" t="s">
        <v>23</v>
      </c>
      <c r="N176" s="1" t="str">
        <f>TEXT(tblbills[[#This Row],[Date]],"mmm")</f>
        <v>Jun</v>
      </c>
      <c r="O176" s="1" t="str">
        <f>TEXT(tblbills[[#This Row],[Date]],"yyyy")</f>
        <v>2024</v>
      </c>
      <c r="Q176"/>
      <c r="R176"/>
      <c r="S176"/>
      <c r="T176"/>
      <c r="U176"/>
      <c r="V176"/>
    </row>
    <row r="177" spans="1:22" x14ac:dyDescent="0.3">
      <c r="A177" s="1" t="str">
        <f t="shared" si="2"/>
        <v>DE1176</v>
      </c>
      <c r="B177" s="1" t="s">
        <v>12</v>
      </c>
      <c r="C177" s="1" t="s">
        <v>55</v>
      </c>
      <c r="D177" s="1" t="s">
        <v>77</v>
      </c>
      <c r="E177" s="2">
        <v>45466</v>
      </c>
      <c r="F177" s="1">
        <v>14</v>
      </c>
      <c r="G177" s="5">
        <v>2386</v>
      </c>
      <c r="H177" s="5">
        <v>33404</v>
      </c>
      <c r="I177" s="1" t="s">
        <v>15</v>
      </c>
      <c r="J177" s="1" t="s">
        <v>26</v>
      </c>
      <c r="K177" s="1" t="s">
        <v>32</v>
      </c>
      <c r="L177" s="1">
        <v>0</v>
      </c>
      <c r="M177" s="1" t="s">
        <v>17</v>
      </c>
      <c r="N177" s="1" t="str">
        <f>TEXT(tblbills[[#This Row],[Date]],"mmm")</f>
        <v>Jun</v>
      </c>
      <c r="O177" s="1" t="str">
        <f>TEXT(tblbills[[#This Row],[Date]],"yyyy")</f>
        <v>2024</v>
      </c>
      <c r="Q177"/>
      <c r="R177"/>
      <c r="S177"/>
      <c r="T177"/>
      <c r="U177"/>
      <c r="V177"/>
    </row>
    <row r="178" spans="1:22" x14ac:dyDescent="0.3">
      <c r="A178" s="1" t="str">
        <f t="shared" si="2"/>
        <v>DE1177</v>
      </c>
      <c r="B178" s="1" t="s">
        <v>12</v>
      </c>
      <c r="C178" s="1" t="s">
        <v>75</v>
      </c>
      <c r="D178" s="1" t="s">
        <v>45</v>
      </c>
      <c r="E178" s="2">
        <v>45459</v>
      </c>
      <c r="F178" s="1">
        <v>20</v>
      </c>
      <c r="G178" s="5">
        <v>1914</v>
      </c>
      <c r="H178" s="5">
        <v>38280</v>
      </c>
      <c r="I178" s="1" t="s">
        <v>27</v>
      </c>
      <c r="J178" s="1" t="s">
        <v>47</v>
      </c>
      <c r="K178" s="1" t="s">
        <v>32</v>
      </c>
      <c r="L178" s="1">
        <v>10</v>
      </c>
      <c r="M178" s="1" t="s">
        <v>23</v>
      </c>
      <c r="N178" s="1" t="str">
        <f>TEXT(tblbills[[#This Row],[Date]],"mmm")</f>
        <v>Jun</v>
      </c>
      <c r="O178" s="1" t="str">
        <f>TEXT(tblbills[[#This Row],[Date]],"yyyy")</f>
        <v>2024</v>
      </c>
      <c r="Q178"/>
      <c r="R178"/>
      <c r="S178"/>
      <c r="T178"/>
      <c r="U178"/>
      <c r="V178"/>
    </row>
    <row r="179" spans="1:22" x14ac:dyDescent="0.3">
      <c r="A179" s="1" t="str">
        <f t="shared" si="2"/>
        <v>DE1178</v>
      </c>
      <c r="B179" s="1" t="s">
        <v>12</v>
      </c>
      <c r="C179" s="1" t="s">
        <v>75</v>
      </c>
      <c r="D179" s="1" t="s">
        <v>76</v>
      </c>
      <c r="E179" s="2">
        <v>45452</v>
      </c>
      <c r="F179" s="1">
        <v>8</v>
      </c>
      <c r="G179" s="5">
        <v>2772</v>
      </c>
      <c r="H179" s="5">
        <v>22176</v>
      </c>
      <c r="I179" s="1" t="s">
        <v>15</v>
      </c>
      <c r="J179" s="1" t="s">
        <v>26</v>
      </c>
      <c r="K179" s="1" t="s">
        <v>16</v>
      </c>
      <c r="L179" s="1">
        <v>2</v>
      </c>
      <c r="M179" s="1" t="s">
        <v>29</v>
      </c>
      <c r="N179" s="1" t="str">
        <f>TEXT(tblbills[[#This Row],[Date]],"mmm")</f>
        <v>Jun</v>
      </c>
      <c r="O179" s="1" t="str">
        <f>TEXT(tblbills[[#This Row],[Date]],"yyyy")</f>
        <v>2024</v>
      </c>
      <c r="Q179"/>
      <c r="R179"/>
      <c r="S179"/>
      <c r="T179"/>
      <c r="U179"/>
      <c r="V179"/>
    </row>
    <row r="180" spans="1:22" x14ac:dyDescent="0.3">
      <c r="A180" s="1" t="str">
        <f t="shared" si="2"/>
        <v>DE1179</v>
      </c>
      <c r="B180" s="1" t="s">
        <v>12</v>
      </c>
      <c r="C180" s="1" t="s">
        <v>35</v>
      </c>
      <c r="D180" s="1" t="s">
        <v>77</v>
      </c>
      <c r="E180" s="2">
        <v>45450</v>
      </c>
      <c r="F180" s="1">
        <v>18</v>
      </c>
      <c r="G180" s="5">
        <v>3489</v>
      </c>
      <c r="H180" s="5">
        <v>62802</v>
      </c>
      <c r="I180" s="1" t="s">
        <v>22</v>
      </c>
      <c r="J180" s="1" t="s">
        <v>21</v>
      </c>
      <c r="K180" s="1" t="s">
        <v>16</v>
      </c>
      <c r="L180" s="1">
        <v>0</v>
      </c>
      <c r="M180" s="1" t="s">
        <v>17</v>
      </c>
      <c r="N180" s="1" t="str">
        <f>TEXT(tblbills[[#This Row],[Date]],"mmm")</f>
        <v>Jun</v>
      </c>
      <c r="O180" s="1" t="str">
        <f>TEXT(tblbills[[#This Row],[Date]],"yyyy")</f>
        <v>2024</v>
      </c>
      <c r="Q180"/>
      <c r="R180"/>
      <c r="S180"/>
      <c r="T180"/>
      <c r="U180"/>
      <c r="V180"/>
    </row>
    <row r="181" spans="1:22" x14ac:dyDescent="0.3">
      <c r="A181" s="1" t="str">
        <f t="shared" si="2"/>
        <v>DE1180</v>
      </c>
      <c r="B181" s="1" t="s">
        <v>53</v>
      </c>
      <c r="C181" s="1" t="s">
        <v>64</v>
      </c>
      <c r="D181" s="1" t="s">
        <v>74</v>
      </c>
      <c r="E181" s="2">
        <v>45744</v>
      </c>
      <c r="F181" s="1">
        <v>13</v>
      </c>
      <c r="G181" s="5">
        <v>3335</v>
      </c>
      <c r="H181" s="5">
        <v>43355</v>
      </c>
      <c r="I181" s="1" t="s">
        <v>27</v>
      </c>
      <c r="J181" s="1" t="s">
        <v>26</v>
      </c>
      <c r="K181" s="1" t="s">
        <v>16</v>
      </c>
      <c r="L181" s="1">
        <v>0</v>
      </c>
      <c r="M181" s="1" t="s">
        <v>17</v>
      </c>
      <c r="N181" s="1" t="str">
        <f>TEXT(tblbills[[#This Row],[Date]],"mmm")</f>
        <v>Mar</v>
      </c>
      <c r="O181" s="1" t="str">
        <f>TEXT(tblbills[[#This Row],[Date]],"yyyy")</f>
        <v>2025</v>
      </c>
      <c r="Q181"/>
      <c r="R181"/>
      <c r="S181"/>
      <c r="T181"/>
      <c r="U181"/>
      <c r="V181"/>
    </row>
    <row r="182" spans="1:22" x14ac:dyDescent="0.3">
      <c r="A182" s="1" t="str">
        <f t="shared" si="2"/>
        <v>DE1181</v>
      </c>
      <c r="B182" s="1" t="s">
        <v>53</v>
      </c>
      <c r="C182" s="1" t="s">
        <v>66</v>
      </c>
      <c r="D182" s="1" t="s">
        <v>45</v>
      </c>
      <c r="E182" s="2">
        <v>45743</v>
      </c>
      <c r="F182" s="1">
        <v>5</v>
      </c>
      <c r="G182" s="5">
        <v>3610</v>
      </c>
      <c r="H182" s="5">
        <v>18050</v>
      </c>
      <c r="I182" s="1" t="s">
        <v>22</v>
      </c>
      <c r="J182" s="1" t="s">
        <v>26</v>
      </c>
      <c r="K182" s="1" t="s">
        <v>16</v>
      </c>
      <c r="L182" s="1">
        <v>0</v>
      </c>
      <c r="M182" s="1" t="s">
        <v>33</v>
      </c>
      <c r="N182" s="1" t="str">
        <f>TEXT(tblbills[[#This Row],[Date]],"mmm")</f>
        <v>Mar</v>
      </c>
      <c r="O182" s="1" t="str">
        <f>TEXT(tblbills[[#This Row],[Date]],"yyyy")</f>
        <v>2025</v>
      </c>
      <c r="Q182"/>
      <c r="R182"/>
      <c r="S182"/>
      <c r="T182"/>
      <c r="U182"/>
      <c r="V182"/>
    </row>
    <row r="183" spans="1:22" x14ac:dyDescent="0.3">
      <c r="A183" s="1" t="str">
        <f t="shared" si="2"/>
        <v>DE1182</v>
      </c>
      <c r="B183" s="1" t="s">
        <v>53</v>
      </c>
      <c r="C183" s="1" t="s">
        <v>63</v>
      </c>
      <c r="D183" s="1" t="s">
        <v>79</v>
      </c>
      <c r="E183" s="2">
        <v>45734</v>
      </c>
      <c r="F183" s="1">
        <v>19</v>
      </c>
      <c r="G183" s="5">
        <v>2089</v>
      </c>
      <c r="H183" s="5">
        <v>39691</v>
      </c>
      <c r="I183" s="1" t="s">
        <v>22</v>
      </c>
      <c r="J183" s="1" t="s">
        <v>14</v>
      </c>
      <c r="K183" s="1" t="s">
        <v>32</v>
      </c>
      <c r="L183" s="1">
        <v>10</v>
      </c>
      <c r="M183" s="1" t="s">
        <v>29</v>
      </c>
      <c r="N183" s="1" t="str">
        <f>TEXT(tblbills[[#This Row],[Date]],"mmm")</f>
        <v>Mar</v>
      </c>
      <c r="O183" s="1" t="str">
        <f>TEXT(tblbills[[#This Row],[Date]],"yyyy")</f>
        <v>2025</v>
      </c>
      <c r="Q183"/>
      <c r="R183"/>
      <c r="S183"/>
      <c r="T183"/>
      <c r="U183"/>
      <c r="V183"/>
    </row>
    <row r="184" spans="1:22" x14ac:dyDescent="0.3">
      <c r="A184" s="1" t="str">
        <f t="shared" si="2"/>
        <v>DE1183</v>
      </c>
      <c r="B184" s="1" t="s">
        <v>53</v>
      </c>
      <c r="C184" s="1" t="s">
        <v>64</v>
      </c>
      <c r="D184" s="1" t="s">
        <v>62</v>
      </c>
      <c r="E184" s="2">
        <v>45727</v>
      </c>
      <c r="F184" s="1">
        <v>17</v>
      </c>
      <c r="G184" s="5">
        <v>184</v>
      </c>
      <c r="H184" s="5">
        <v>3128</v>
      </c>
      <c r="I184" s="1" t="s">
        <v>15</v>
      </c>
      <c r="J184" s="1" t="s">
        <v>14</v>
      </c>
      <c r="K184" s="1" t="s">
        <v>32</v>
      </c>
      <c r="L184" s="1">
        <v>0</v>
      </c>
      <c r="M184" s="1" t="s">
        <v>17</v>
      </c>
      <c r="N184" s="1" t="str">
        <f>TEXT(tblbills[[#This Row],[Date]],"mmm")</f>
        <v>Mar</v>
      </c>
      <c r="O184" s="1" t="str">
        <f>TEXT(tblbills[[#This Row],[Date]],"yyyy")</f>
        <v>2025</v>
      </c>
      <c r="Q184"/>
      <c r="R184"/>
      <c r="S184"/>
      <c r="T184"/>
      <c r="U184"/>
      <c r="V184"/>
    </row>
    <row r="185" spans="1:22" x14ac:dyDescent="0.3">
      <c r="A185" s="1" t="str">
        <f t="shared" si="2"/>
        <v>DE1184</v>
      </c>
      <c r="B185" s="1" t="s">
        <v>53</v>
      </c>
      <c r="C185" s="1" t="s">
        <v>64</v>
      </c>
      <c r="D185" s="1" t="s">
        <v>18</v>
      </c>
      <c r="E185" s="2">
        <v>45723</v>
      </c>
      <c r="F185" s="1">
        <v>16</v>
      </c>
      <c r="G185" s="5">
        <v>1720</v>
      </c>
      <c r="H185" s="5">
        <v>27520</v>
      </c>
      <c r="I185" s="1" t="s">
        <v>15</v>
      </c>
      <c r="J185" s="1" t="s">
        <v>39</v>
      </c>
      <c r="K185" s="1" t="s">
        <v>28</v>
      </c>
      <c r="L185" s="1">
        <v>0</v>
      </c>
      <c r="M185" s="1" t="s">
        <v>29</v>
      </c>
      <c r="N185" s="1" t="str">
        <f>TEXT(tblbills[[#This Row],[Date]],"mmm")</f>
        <v>Mar</v>
      </c>
      <c r="O185" s="1" t="str">
        <f>TEXT(tblbills[[#This Row],[Date]],"yyyy")</f>
        <v>2025</v>
      </c>
      <c r="Q185"/>
      <c r="R185"/>
      <c r="S185"/>
      <c r="T185"/>
      <c r="U185"/>
      <c r="V185"/>
    </row>
    <row r="186" spans="1:22" x14ac:dyDescent="0.3">
      <c r="A186" s="1" t="str">
        <f t="shared" si="2"/>
        <v>DE1185</v>
      </c>
      <c r="B186" s="1" t="s">
        <v>53</v>
      </c>
      <c r="C186" s="1" t="s">
        <v>68</v>
      </c>
      <c r="D186" s="1" t="s">
        <v>18</v>
      </c>
      <c r="E186" s="2">
        <v>45713</v>
      </c>
      <c r="F186" s="1">
        <v>5</v>
      </c>
      <c r="G186" s="5">
        <v>1195</v>
      </c>
      <c r="H186" s="5">
        <v>5975</v>
      </c>
      <c r="I186" s="1" t="s">
        <v>15</v>
      </c>
      <c r="J186" s="1" t="s">
        <v>47</v>
      </c>
      <c r="K186" s="1" t="s">
        <v>32</v>
      </c>
      <c r="L186" s="1">
        <v>10</v>
      </c>
      <c r="M186" s="1" t="s">
        <v>33</v>
      </c>
      <c r="N186" s="1" t="str">
        <f>TEXT(tblbills[[#This Row],[Date]],"mmm")</f>
        <v>Feb</v>
      </c>
      <c r="O186" s="1" t="str">
        <f>TEXT(tblbills[[#This Row],[Date]],"yyyy")</f>
        <v>2025</v>
      </c>
      <c r="Q186"/>
      <c r="R186"/>
      <c r="S186"/>
      <c r="T186"/>
      <c r="U186"/>
      <c r="V186"/>
    </row>
    <row r="187" spans="1:22" x14ac:dyDescent="0.3">
      <c r="A187" s="1" t="str">
        <f t="shared" si="2"/>
        <v>DE1186</v>
      </c>
      <c r="B187" s="1" t="s">
        <v>53</v>
      </c>
      <c r="C187" s="1" t="s">
        <v>66</v>
      </c>
      <c r="D187" s="1" t="s">
        <v>30</v>
      </c>
      <c r="E187" s="2">
        <v>45697</v>
      </c>
      <c r="F187" s="1">
        <v>2</v>
      </c>
      <c r="G187" s="5">
        <v>2424</v>
      </c>
      <c r="H187" s="5">
        <v>4848</v>
      </c>
      <c r="I187" s="1" t="s">
        <v>22</v>
      </c>
      <c r="J187" s="1" t="s">
        <v>59</v>
      </c>
      <c r="K187" s="1" t="s">
        <v>32</v>
      </c>
      <c r="L187" s="1">
        <v>0</v>
      </c>
      <c r="M187" s="1" t="s">
        <v>29</v>
      </c>
      <c r="N187" s="1" t="str">
        <f>TEXT(tblbills[[#This Row],[Date]],"mmm")</f>
        <v>Feb</v>
      </c>
      <c r="O187" s="1" t="str">
        <f>TEXT(tblbills[[#This Row],[Date]],"yyyy")</f>
        <v>2025</v>
      </c>
      <c r="Q187"/>
      <c r="R187"/>
      <c r="S187"/>
      <c r="T187"/>
      <c r="U187"/>
      <c r="V187"/>
    </row>
    <row r="188" spans="1:22" x14ac:dyDescent="0.3">
      <c r="A188" s="1" t="str">
        <f t="shared" si="2"/>
        <v>DE1187</v>
      </c>
      <c r="B188" s="1" t="s">
        <v>53</v>
      </c>
      <c r="C188" s="1" t="s">
        <v>68</v>
      </c>
      <c r="D188" s="1" t="s">
        <v>11</v>
      </c>
      <c r="E188" s="2">
        <v>45696</v>
      </c>
      <c r="F188" s="1">
        <v>18</v>
      </c>
      <c r="G188" s="5">
        <v>4415</v>
      </c>
      <c r="H188" s="5">
        <v>79470</v>
      </c>
      <c r="I188" s="1" t="s">
        <v>22</v>
      </c>
      <c r="J188" s="1" t="s">
        <v>59</v>
      </c>
      <c r="K188" s="1" t="s">
        <v>32</v>
      </c>
      <c r="L188" s="1">
        <v>0</v>
      </c>
      <c r="M188" s="1" t="s">
        <v>44</v>
      </c>
      <c r="N188" s="1" t="str">
        <f>TEXT(tblbills[[#This Row],[Date]],"mmm")</f>
        <v>Feb</v>
      </c>
      <c r="O188" s="1" t="str">
        <f>TEXT(tblbills[[#This Row],[Date]],"yyyy")</f>
        <v>2025</v>
      </c>
      <c r="Q188"/>
      <c r="R188"/>
      <c r="S188"/>
      <c r="T188"/>
      <c r="U188"/>
      <c r="V188"/>
    </row>
    <row r="189" spans="1:22" x14ac:dyDescent="0.3">
      <c r="A189" s="1" t="str">
        <f t="shared" si="2"/>
        <v>DE1188</v>
      </c>
      <c r="B189" s="1" t="s">
        <v>53</v>
      </c>
      <c r="C189" s="1" t="s">
        <v>63</v>
      </c>
      <c r="D189" s="1" t="s">
        <v>18</v>
      </c>
      <c r="E189" s="2">
        <v>45692</v>
      </c>
      <c r="F189" s="1">
        <v>9</v>
      </c>
      <c r="G189" s="5">
        <v>4390</v>
      </c>
      <c r="H189" s="5">
        <v>39510</v>
      </c>
      <c r="I189" s="1" t="s">
        <v>27</v>
      </c>
      <c r="J189" s="1" t="s">
        <v>26</v>
      </c>
      <c r="K189" s="1" t="s">
        <v>16</v>
      </c>
      <c r="L189" s="1">
        <v>0</v>
      </c>
      <c r="M189" s="1" t="s">
        <v>44</v>
      </c>
      <c r="N189" s="1" t="str">
        <f>TEXT(tblbills[[#This Row],[Date]],"mmm")</f>
        <v>Feb</v>
      </c>
      <c r="O189" s="1" t="str">
        <f>TEXT(tblbills[[#This Row],[Date]],"yyyy")</f>
        <v>2025</v>
      </c>
      <c r="Q189"/>
      <c r="R189"/>
      <c r="S189"/>
      <c r="T189"/>
      <c r="U189"/>
      <c r="V189"/>
    </row>
    <row r="190" spans="1:22" x14ac:dyDescent="0.3">
      <c r="A190" s="1" t="str">
        <f t="shared" si="2"/>
        <v>DE1189</v>
      </c>
      <c r="B190" s="1" t="s">
        <v>53</v>
      </c>
      <c r="C190" s="1" t="s">
        <v>64</v>
      </c>
      <c r="D190" s="1" t="s">
        <v>49</v>
      </c>
      <c r="E190" s="2">
        <v>45691</v>
      </c>
      <c r="F190" s="1">
        <v>9</v>
      </c>
      <c r="G190" s="5">
        <v>3523</v>
      </c>
      <c r="H190" s="5">
        <v>31707</v>
      </c>
      <c r="I190" s="1" t="s">
        <v>27</v>
      </c>
      <c r="J190" s="1" t="s">
        <v>39</v>
      </c>
      <c r="K190" s="1" t="s">
        <v>28</v>
      </c>
      <c r="L190" s="1">
        <v>2</v>
      </c>
      <c r="M190" s="1" t="s">
        <v>17</v>
      </c>
      <c r="N190" s="1" t="str">
        <f>TEXT(tblbills[[#This Row],[Date]],"mmm")</f>
        <v>Feb</v>
      </c>
      <c r="O190" s="1" t="str">
        <f>TEXT(tblbills[[#This Row],[Date]],"yyyy")</f>
        <v>2025</v>
      </c>
      <c r="Q190"/>
      <c r="R190"/>
      <c r="S190"/>
      <c r="T190"/>
      <c r="U190"/>
      <c r="V190"/>
    </row>
    <row r="191" spans="1:22" x14ac:dyDescent="0.3">
      <c r="A191" s="1" t="str">
        <f t="shared" si="2"/>
        <v>DE1190</v>
      </c>
      <c r="B191" s="1" t="s">
        <v>53</v>
      </c>
      <c r="C191" s="1" t="s">
        <v>54</v>
      </c>
      <c r="D191" s="1" t="s">
        <v>40</v>
      </c>
      <c r="E191" s="2">
        <v>45689</v>
      </c>
      <c r="F191" s="1">
        <v>5</v>
      </c>
      <c r="G191" s="5">
        <v>2836</v>
      </c>
      <c r="H191" s="5">
        <v>14180</v>
      </c>
      <c r="I191" s="1" t="s">
        <v>27</v>
      </c>
      <c r="J191" s="1" t="s">
        <v>43</v>
      </c>
      <c r="K191" s="1" t="s">
        <v>32</v>
      </c>
      <c r="L191" s="1">
        <v>5</v>
      </c>
      <c r="M191" s="1" t="s">
        <v>23</v>
      </c>
      <c r="N191" s="1" t="str">
        <f>TEXT(tblbills[[#This Row],[Date]],"mmm")</f>
        <v>Feb</v>
      </c>
      <c r="O191" s="1" t="str">
        <f>TEXT(tblbills[[#This Row],[Date]],"yyyy")</f>
        <v>2025</v>
      </c>
      <c r="Q191"/>
      <c r="R191"/>
      <c r="S191"/>
      <c r="T191"/>
      <c r="U191"/>
      <c r="V191"/>
    </row>
    <row r="192" spans="1:22" x14ac:dyDescent="0.3">
      <c r="A192" s="1" t="str">
        <f t="shared" si="2"/>
        <v>DE1191</v>
      </c>
      <c r="B192" s="1" t="s">
        <v>53</v>
      </c>
      <c r="C192" s="1" t="s">
        <v>63</v>
      </c>
      <c r="D192" s="1" t="s">
        <v>62</v>
      </c>
      <c r="E192" s="2">
        <v>45682</v>
      </c>
      <c r="F192" s="1">
        <v>2</v>
      </c>
      <c r="G192" s="5">
        <v>1088</v>
      </c>
      <c r="H192" s="5">
        <v>2176</v>
      </c>
      <c r="I192" s="1" t="s">
        <v>27</v>
      </c>
      <c r="J192" s="1" t="s">
        <v>39</v>
      </c>
      <c r="K192" s="1" t="s">
        <v>16</v>
      </c>
      <c r="L192" s="1">
        <v>7</v>
      </c>
      <c r="M192" s="1" t="s">
        <v>29</v>
      </c>
      <c r="N192" s="1" t="str">
        <f>TEXT(tblbills[[#This Row],[Date]],"mmm")</f>
        <v>Jan</v>
      </c>
      <c r="O192" s="1" t="str">
        <f>TEXT(tblbills[[#This Row],[Date]],"yyyy")</f>
        <v>2025</v>
      </c>
      <c r="Q192"/>
      <c r="R192"/>
      <c r="S192"/>
      <c r="T192"/>
      <c r="U192"/>
      <c r="V192"/>
    </row>
    <row r="193" spans="1:22" x14ac:dyDescent="0.3">
      <c r="A193" s="1" t="str">
        <f t="shared" si="2"/>
        <v>DE1192</v>
      </c>
      <c r="B193" s="1" t="s">
        <v>53</v>
      </c>
      <c r="C193" s="1" t="s">
        <v>54</v>
      </c>
      <c r="D193" s="1" t="s">
        <v>74</v>
      </c>
      <c r="E193" s="2">
        <v>45682</v>
      </c>
      <c r="F193" s="1">
        <v>17</v>
      </c>
      <c r="G193" s="5">
        <v>4193</v>
      </c>
      <c r="H193" s="5">
        <v>71281</v>
      </c>
      <c r="I193" s="1" t="s">
        <v>22</v>
      </c>
      <c r="J193" s="1" t="s">
        <v>59</v>
      </c>
      <c r="K193" s="1" t="s">
        <v>32</v>
      </c>
      <c r="L193" s="1">
        <v>0</v>
      </c>
      <c r="M193" s="1" t="s">
        <v>44</v>
      </c>
      <c r="N193" s="1" t="str">
        <f>TEXT(tblbills[[#This Row],[Date]],"mmm")</f>
        <v>Jan</v>
      </c>
      <c r="O193" s="1" t="str">
        <f>TEXT(tblbills[[#This Row],[Date]],"yyyy")</f>
        <v>2025</v>
      </c>
      <c r="Q193"/>
      <c r="R193"/>
      <c r="S193"/>
      <c r="T193"/>
      <c r="U193"/>
      <c r="V193"/>
    </row>
    <row r="194" spans="1:22" x14ac:dyDescent="0.3">
      <c r="A194" s="1" t="str">
        <f t="shared" si="2"/>
        <v>DE1193</v>
      </c>
      <c r="B194" s="1" t="s">
        <v>53</v>
      </c>
      <c r="C194" s="1" t="s">
        <v>63</v>
      </c>
      <c r="D194" s="1" t="s">
        <v>79</v>
      </c>
      <c r="E194" s="2">
        <v>45676</v>
      </c>
      <c r="F194" s="1">
        <v>20</v>
      </c>
      <c r="G194" s="5">
        <v>1713</v>
      </c>
      <c r="H194" s="5">
        <v>34260</v>
      </c>
      <c r="I194" s="1" t="s">
        <v>15</v>
      </c>
      <c r="J194" s="1" t="s">
        <v>21</v>
      </c>
      <c r="K194" s="1" t="s">
        <v>28</v>
      </c>
      <c r="L194" s="1">
        <v>2</v>
      </c>
      <c r="M194" s="1" t="s">
        <v>17</v>
      </c>
      <c r="N194" s="1" t="str">
        <f>TEXT(tblbills[[#This Row],[Date]],"mmm")</f>
        <v>Jan</v>
      </c>
      <c r="O194" s="1" t="str">
        <f>TEXT(tblbills[[#This Row],[Date]],"yyyy")</f>
        <v>2025</v>
      </c>
      <c r="Q194"/>
      <c r="R194"/>
      <c r="S194"/>
      <c r="T194"/>
      <c r="U194"/>
      <c r="V194"/>
    </row>
    <row r="195" spans="1:22" x14ac:dyDescent="0.3">
      <c r="A195" s="1" t="str">
        <f t="shared" ref="A195:A258" si="3">"DE"&amp;ROW()+999</f>
        <v>DE1194</v>
      </c>
      <c r="B195" s="1" t="s">
        <v>53</v>
      </c>
      <c r="C195" s="1" t="s">
        <v>64</v>
      </c>
      <c r="D195" s="1" t="s">
        <v>79</v>
      </c>
      <c r="E195" s="2">
        <v>45668</v>
      </c>
      <c r="F195" s="1">
        <v>3</v>
      </c>
      <c r="G195" s="5">
        <v>2426</v>
      </c>
      <c r="H195" s="5">
        <v>7278</v>
      </c>
      <c r="I195" s="1" t="s">
        <v>22</v>
      </c>
      <c r="J195" s="1" t="s">
        <v>43</v>
      </c>
      <c r="K195" s="1" t="s">
        <v>32</v>
      </c>
      <c r="L195" s="1">
        <v>0</v>
      </c>
      <c r="M195" s="1" t="s">
        <v>23</v>
      </c>
      <c r="N195" s="1" t="str">
        <f>TEXT(tblbills[[#This Row],[Date]],"mmm")</f>
        <v>Jan</v>
      </c>
      <c r="O195" s="1" t="str">
        <f>TEXT(tblbills[[#This Row],[Date]],"yyyy")</f>
        <v>2025</v>
      </c>
      <c r="Q195"/>
      <c r="R195"/>
      <c r="S195"/>
      <c r="T195"/>
      <c r="U195"/>
      <c r="V195"/>
    </row>
    <row r="196" spans="1:22" x14ac:dyDescent="0.3">
      <c r="A196" s="1" t="str">
        <f t="shared" si="3"/>
        <v>DE1195</v>
      </c>
      <c r="B196" s="1" t="s">
        <v>53</v>
      </c>
      <c r="C196" s="1" t="s">
        <v>64</v>
      </c>
      <c r="D196" s="1" t="s">
        <v>49</v>
      </c>
      <c r="E196" s="2">
        <v>45668</v>
      </c>
      <c r="F196" s="1">
        <v>5</v>
      </c>
      <c r="G196" s="5">
        <v>2479</v>
      </c>
      <c r="H196" s="5">
        <v>12395</v>
      </c>
      <c r="I196" s="1" t="s">
        <v>15</v>
      </c>
      <c r="J196" s="1" t="s">
        <v>47</v>
      </c>
      <c r="K196" s="1" t="s">
        <v>16</v>
      </c>
      <c r="L196" s="1">
        <v>10</v>
      </c>
      <c r="M196" s="1" t="s">
        <v>23</v>
      </c>
      <c r="N196" s="1" t="str">
        <f>TEXT(tblbills[[#This Row],[Date]],"mmm")</f>
        <v>Jan</v>
      </c>
      <c r="O196" s="1" t="str">
        <f>TEXT(tblbills[[#This Row],[Date]],"yyyy")</f>
        <v>2025</v>
      </c>
      <c r="Q196"/>
      <c r="R196"/>
      <c r="S196"/>
      <c r="T196"/>
      <c r="U196"/>
      <c r="V196"/>
    </row>
    <row r="197" spans="1:22" x14ac:dyDescent="0.3">
      <c r="A197" s="1" t="str">
        <f t="shared" si="3"/>
        <v>DE1196</v>
      </c>
      <c r="B197" s="1" t="s">
        <v>53</v>
      </c>
      <c r="C197" s="1" t="s">
        <v>68</v>
      </c>
      <c r="D197" s="1" t="s">
        <v>57</v>
      </c>
      <c r="E197" s="2">
        <v>45667</v>
      </c>
      <c r="F197" s="1">
        <v>17</v>
      </c>
      <c r="G197" s="5">
        <v>1327</v>
      </c>
      <c r="H197" s="5">
        <v>22559</v>
      </c>
      <c r="I197" s="1" t="s">
        <v>27</v>
      </c>
      <c r="J197" s="1" t="s">
        <v>39</v>
      </c>
      <c r="K197" s="1" t="s">
        <v>28</v>
      </c>
      <c r="L197" s="1">
        <v>2</v>
      </c>
      <c r="M197" s="1" t="s">
        <v>33</v>
      </c>
      <c r="N197" s="1" t="str">
        <f>TEXT(tblbills[[#This Row],[Date]],"mmm")</f>
        <v>Jan</v>
      </c>
      <c r="O197" s="1" t="str">
        <f>TEXT(tblbills[[#This Row],[Date]],"yyyy")</f>
        <v>2025</v>
      </c>
      <c r="Q197"/>
      <c r="R197"/>
      <c r="S197"/>
      <c r="T197"/>
      <c r="U197"/>
      <c r="V197"/>
    </row>
    <row r="198" spans="1:22" x14ac:dyDescent="0.3">
      <c r="A198" s="1" t="str">
        <f t="shared" si="3"/>
        <v>DE1197</v>
      </c>
      <c r="B198" s="1" t="s">
        <v>53</v>
      </c>
      <c r="C198" s="1" t="s">
        <v>54</v>
      </c>
      <c r="D198" s="1" t="s">
        <v>76</v>
      </c>
      <c r="E198" s="2">
        <v>45666</v>
      </c>
      <c r="F198" s="1">
        <v>4</v>
      </c>
      <c r="G198" s="5">
        <v>2524</v>
      </c>
      <c r="H198" s="5">
        <v>10096</v>
      </c>
      <c r="I198" s="1" t="s">
        <v>15</v>
      </c>
      <c r="J198" s="1" t="s">
        <v>43</v>
      </c>
      <c r="K198" s="1" t="s">
        <v>16</v>
      </c>
      <c r="L198" s="1">
        <v>0</v>
      </c>
      <c r="M198" s="1" t="s">
        <v>17</v>
      </c>
      <c r="N198" s="1" t="str">
        <f>TEXT(tblbills[[#This Row],[Date]],"mmm")</f>
        <v>Jan</v>
      </c>
      <c r="O198" s="1" t="str">
        <f>TEXT(tblbills[[#This Row],[Date]],"yyyy")</f>
        <v>2025</v>
      </c>
      <c r="Q198"/>
      <c r="R198"/>
      <c r="S198"/>
      <c r="T198"/>
      <c r="U198"/>
      <c r="V198"/>
    </row>
    <row r="199" spans="1:22" x14ac:dyDescent="0.3">
      <c r="A199" s="1" t="str">
        <f t="shared" si="3"/>
        <v>DE1198</v>
      </c>
      <c r="B199" s="1" t="s">
        <v>53</v>
      </c>
      <c r="C199" s="1" t="s">
        <v>63</v>
      </c>
      <c r="D199" s="1" t="s">
        <v>79</v>
      </c>
      <c r="E199" s="2">
        <v>45660</v>
      </c>
      <c r="F199" s="1">
        <v>9</v>
      </c>
      <c r="G199" s="5">
        <v>1382</v>
      </c>
      <c r="H199" s="5">
        <v>12438</v>
      </c>
      <c r="I199" s="1" t="s">
        <v>27</v>
      </c>
      <c r="J199" s="1" t="s">
        <v>47</v>
      </c>
      <c r="K199" s="1" t="s">
        <v>32</v>
      </c>
      <c r="L199" s="1">
        <v>5</v>
      </c>
      <c r="M199" s="1" t="s">
        <v>17</v>
      </c>
      <c r="N199" s="1" t="str">
        <f>TEXT(tblbills[[#This Row],[Date]],"mmm")</f>
        <v>Jan</v>
      </c>
      <c r="O199" s="1" t="str">
        <f>TEXT(tblbills[[#This Row],[Date]],"yyyy")</f>
        <v>2025</v>
      </c>
      <c r="Q199"/>
      <c r="R199"/>
      <c r="S199"/>
      <c r="T199"/>
      <c r="U199"/>
      <c r="V199"/>
    </row>
    <row r="200" spans="1:22" x14ac:dyDescent="0.3">
      <c r="A200" s="1" t="str">
        <f t="shared" si="3"/>
        <v>DE1199</v>
      </c>
      <c r="B200" s="1" t="s">
        <v>53</v>
      </c>
      <c r="C200" s="1" t="s">
        <v>68</v>
      </c>
      <c r="D200" s="1" t="s">
        <v>30</v>
      </c>
      <c r="E200" s="2">
        <v>45657</v>
      </c>
      <c r="F200" s="1">
        <v>11</v>
      </c>
      <c r="G200" s="5">
        <v>2327</v>
      </c>
      <c r="H200" s="5">
        <v>25597</v>
      </c>
      <c r="I200" s="1" t="s">
        <v>15</v>
      </c>
      <c r="J200" s="1" t="s">
        <v>14</v>
      </c>
      <c r="K200" s="1" t="s">
        <v>32</v>
      </c>
      <c r="L200" s="1">
        <v>0</v>
      </c>
      <c r="M200" s="1" t="s">
        <v>33</v>
      </c>
      <c r="N200" s="1" t="str">
        <f>TEXT(tblbills[[#This Row],[Date]],"mmm")</f>
        <v>Dec</v>
      </c>
      <c r="O200" s="1" t="str">
        <f>TEXT(tblbills[[#This Row],[Date]],"yyyy")</f>
        <v>2024</v>
      </c>
      <c r="Q200"/>
      <c r="R200"/>
      <c r="S200"/>
      <c r="T200"/>
      <c r="U200"/>
      <c r="V200"/>
    </row>
    <row r="201" spans="1:22" x14ac:dyDescent="0.3">
      <c r="A201" s="1" t="str">
        <f t="shared" si="3"/>
        <v>DE1200</v>
      </c>
      <c r="B201" s="1" t="s">
        <v>53</v>
      </c>
      <c r="C201" s="1" t="s">
        <v>68</v>
      </c>
      <c r="D201" s="1" t="s">
        <v>49</v>
      </c>
      <c r="E201" s="2">
        <v>45649</v>
      </c>
      <c r="F201" s="1">
        <v>4</v>
      </c>
      <c r="G201" s="5">
        <v>655</v>
      </c>
      <c r="H201" s="5">
        <v>2620</v>
      </c>
      <c r="I201" s="1" t="s">
        <v>22</v>
      </c>
      <c r="J201" s="1" t="s">
        <v>47</v>
      </c>
      <c r="K201" s="1" t="s">
        <v>16</v>
      </c>
      <c r="L201" s="1">
        <v>0</v>
      </c>
      <c r="M201" s="1" t="s">
        <v>23</v>
      </c>
      <c r="N201" s="1" t="str">
        <f>TEXT(tblbills[[#This Row],[Date]],"mmm")</f>
        <v>Dec</v>
      </c>
      <c r="O201" s="1" t="str">
        <f>TEXT(tblbills[[#This Row],[Date]],"yyyy")</f>
        <v>2024</v>
      </c>
      <c r="Q201"/>
      <c r="R201"/>
      <c r="S201"/>
      <c r="T201"/>
      <c r="U201"/>
      <c r="V201"/>
    </row>
    <row r="202" spans="1:22" x14ac:dyDescent="0.3">
      <c r="A202" s="1" t="str">
        <f t="shared" si="3"/>
        <v>DE1201</v>
      </c>
      <c r="B202" s="1" t="s">
        <v>53</v>
      </c>
      <c r="C202" s="1" t="s">
        <v>63</v>
      </c>
      <c r="D202" s="1" t="s">
        <v>40</v>
      </c>
      <c r="E202" s="2">
        <v>45648</v>
      </c>
      <c r="F202" s="1">
        <v>4</v>
      </c>
      <c r="G202" s="5">
        <v>3403</v>
      </c>
      <c r="H202" s="5">
        <v>13612</v>
      </c>
      <c r="I202" s="1" t="s">
        <v>27</v>
      </c>
      <c r="J202" s="1" t="s">
        <v>26</v>
      </c>
      <c r="K202" s="1" t="s">
        <v>32</v>
      </c>
      <c r="L202" s="1">
        <v>10</v>
      </c>
      <c r="M202" s="1" t="s">
        <v>23</v>
      </c>
      <c r="N202" s="1" t="str">
        <f>TEXT(tblbills[[#This Row],[Date]],"mmm")</f>
        <v>Dec</v>
      </c>
      <c r="O202" s="1" t="str">
        <f>TEXT(tblbills[[#This Row],[Date]],"yyyy")</f>
        <v>2024</v>
      </c>
      <c r="Q202"/>
      <c r="R202"/>
      <c r="S202"/>
      <c r="T202"/>
      <c r="U202"/>
      <c r="V202"/>
    </row>
    <row r="203" spans="1:22" x14ac:dyDescent="0.3">
      <c r="A203" s="1" t="str">
        <f t="shared" si="3"/>
        <v>DE1202</v>
      </c>
      <c r="B203" s="1" t="s">
        <v>53</v>
      </c>
      <c r="C203" s="1" t="s">
        <v>68</v>
      </c>
      <c r="D203" s="1" t="s">
        <v>57</v>
      </c>
      <c r="E203" s="2">
        <v>45636</v>
      </c>
      <c r="F203" s="1">
        <v>15</v>
      </c>
      <c r="G203" s="5">
        <v>3212</v>
      </c>
      <c r="H203" s="5">
        <v>48180</v>
      </c>
      <c r="I203" s="1" t="s">
        <v>22</v>
      </c>
      <c r="J203" s="1" t="s">
        <v>14</v>
      </c>
      <c r="K203" s="1" t="s">
        <v>28</v>
      </c>
      <c r="L203" s="1">
        <v>7</v>
      </c>
      <c r="M203" s="1" t="s">
        <v>29</v>
      </c>
      <c r="N203" s="1" t="str">
        <f>TEXT(tblbills[[#This Row],[Date]],"mmm")</f>
        <v>Dec</v>
      </c>
      <c r="O203" s="1" t="str">
        <f>TEXT(tblbills[[#This Row],[Date]],"yyyy")</f>
        <v>2024</v>
      </c>
      <c r="Q203"/>
      <c r="R203"/>
      <c r="S203"/>
      <c r="T203"/>
      <c r="U203"/>
      <c r="V203"/>
    </row>
    <row r="204" spans="1:22" x14ac:dyDescent="0.3">
      <c r="A204" s="1" t="str">
        <f t="shared" si="3"/>
        <v>DE1203</v>
      </c>
      <c r="B204" s="1" t="s">
        <v>53</v>
      </c>
      <c r="C204" s="1" t="s">
        <v>63</v>
      </c>
      <c r="D204" s="1" t="s">
        <v>51</v>
      </c>
      <c r="E204" s="2">
        <v>45632</v>
      </c>
      <c r="F204" s="1">
        <v>16</v>
      </c>
      <c r="G204" s="5">
        <v>4195</v>
      </c>
      <c r="H204" s="5">
        <v>67120</v>
      </c>
      <c r="I204" s="1" t="s">
        <v>15</v>
      </c>
      <c r="J204" s="1" t="s">
        <v>26</v>
      </c>
      <c r="K204" s="1" t="s">
        <v>32</v>
      </c>
      <c r="L204" s="1">
        <v>0</v>
      </c>
      <c r="M204" s="1" t="s">
        <v>17</v>
      </c>
      <c r="N204" s="1" t="str">
        <f>TEXT(tblbills[[#This Row],[Date]],"mmm")</f>
        <v>Dec</v>
      </c>
      <c r="O204" s="1" t="str">
        <f>TEXT(tblbills[[#This Row],[Date]],"yyyy")</f>
        <v>2024</v>
      </c>
      <c r="Q204"/>
      <c r="R204"/>
      <c r="S204"/>
      <c r="T204"/>
      <c r="U204"/>
      <c r="V204"/>
    </row>
    <row r="205" spans="1:22" x14ac:dyDescent="0.3">
      <c r="A205" s="1" t="str">
        <f t="shared" si="3"/>
        <v>DE1204</v>
      </c>
      <c r="B205" s="1" t="s">
        <v>53</v>
      </c>
      <c r="C205" s="1" t="s">
        <v>68</v>
      </c>
      <c r="D205" s="1" t="s">
        <v>76</v>
      </c>
      <c r="E205" s="2">
        <v>45631</v>
      </c>
      <c r="F205" s="1">
        <v>20</v>
      </c>
      <c r="G205" s="5">
        <v>2930</v>
      </c>
      <c r="H205" s="5">
        <v>58600</v>
      </c>
      <c r="I205" s="1" t="s">
        <v>27</v>
      </c>
      <c r="J205" s="1" t="s">
        <v>43</v>
      </c>
      <c r="K205" s="1" t="s">
        <v>32</v>
      </c>
      <c r="L205" s="1">
        <v>7</v>
      </c>
      <c r="M205" s="1" t="s">
        <v>44</v>
      </c>
      <c r="N205" s="1" t="str">
        <f>TEXT(tblbills[[#This Row],[Date]],"mmm")</f>
        <v>Dec</v>
      </c>
      <c r="O205" s="1" t="str">
        <f>TEXT(tblbills[[#This Row],[Date]],"yyyy")</f>
        <v>2024</v>
      </c>
      <c r="Q205"/>
      <c r="R205"/>
      <c r="S205"/>
      <c r="T205"/>
      <c r="U205"/>
      <c r="V205"/>
    </row>
    <row r="206" spans="1:22" x14ac:dyDescent="0.3">
      <c r="A206" s="1" t="str">
        <f t="shared" si="3"/>
        <v>DE1205</v>
      </c>
      <c r="B206" s="1" t="s">
        <v>53</v>
      </c>
      <c r="C206" s="1" t="s">
        <v>63</v>
      </c>
      <c r="D206" s="1" t="s">
        <v>45</v>
      </c>
      <c r="E206" s="2">
        <v>45625</v>
      </c>
      <c r="F206" s="1">
        <v>16</v>
      </c>
      <c r="G206" s="5">
        <v>1857</v>
      </c>
      <c r="H206" s="5">
        <v>29712</v>
      </c>
      <c r="I206" s="1" t="s">
        <v>27</v>
      </c>
      <c r="J206" s="1" t="s">
        <v>26</v>
      </c>
      <c r="K206" s="1" t="s">
        <v>16</v>
      </c>
      <c r="L206" s="1">
        <v>0</v>
      </c>
      <c r="M206" s="1" t="s">
        <v>17</v>
      </c>
      <c r="N206" s="1" t="str">
        <f>TEXT(tblbills[[#This Row],[Date]],"mmm")</f>
        <v>Nov</v>
      </c>
      <c r="O206" s="1" t="str">
        <f>TEXT(tblbills[[#This Row],[Date]],"yyyy")</f>
        <v>2024</v>
      </c>
      <c r="Q206"/>
      <c r="R206"/>
      <c r="S206"/>
      <c r="T206"/>
      <c r="U206"/>
      <c r="V206"/>
    </row>
    <row r="207" spans="1:22" x14ac:dyDescent="0.3">
      <c r="A207" s="1" t="str">
        <f t="shared" si="3"/>
        <v>DE1206</v>
      </c>
      <c r="B207" s="1" t="s">
        <v>53</v>
      </c>
      <c r="C207" s="1" t="s">
        <v>66</v>
      </c>
      <c r="D207" s="1" t="s">
        <v>40</v>
      </c>
      <c r="E207" s="2">
        <v>45621</v>
      </c>
      <c r="F207" s="1">
        <v>10</v>
      </c>
      <c r="G207" s="5">
        <v>767</v>
      </c>
      <c r="H207" s="5">
        <v>7670</v>
      </c>
      <c r="I207" s="1" t="s">
        <v>27</v>
      </c>
      <c r="J207" s="1" t="s">
        <v>14</v>
      </c>
      <c r="K207" s="1" t="s">
        <v>32</v>
      </c>
      <c r="L207" s="1">
        <v>0</v>
      </c>
      <c r="M207" s="1" t="s">
        <v>17</v>
      </c>
      <c r="N207" s="1" t="str">
        <f>TEXT(tblbills[[#This Row],[Date]],"mmm")</f>
        <v>Nov</v>
      </c>
      <c r="O207" s="1" t="str">
        <f>TEXT(tblbills[[#This Row],[Date]],"yyyy")</f>
        <v>2024</v>
      </c>
      <c r="Q207"/>
      <c r="R207"/>
      <c r="S207"/>
      <c r="T207"/>
      <c r="U207"/>
      <c r="V207"/>
    </row>
    <row r="208" spans="1:22" x14ac:dyDescent="0.3">
      <c r="A208" s="1" t="str">
        <f t="shared" si="3"/>
        <v>DE1207</v>
      </c>
      <c r="B208" s="1" t="s">
        <v>53</v>
      </c>
      <c r="C208" s="1" t="s">
        <v>64</v>
      </c>
      <c r="D208" s="1" t="s">
        <v>76</v>
      </c>
      <c r="E208" s="2">
        <v>45618</v>
      </c>
      <c r="F208" s="1">
        <v>7</v>
      </c>
      <c r="G208" s="5">
        <v>1188</v>
      </c>
      <c r="H208" s="5">
        <v>8316</v>
      </c>
      <c r="I208" s="1" t="s">
        <v>27</v>
      </c>
      <c r="J208" s="1" t="s">
        <v>59</v>
      </c>
      <c r="K208" s="1" t="s">
        <v>28</v>
      </c>
      <c r="L208" s="1">
        <v>0</v>
      </c>
      <c r="M208" s="1" t="s">
        <v>29</v>
      </c>
      <c r="N208" s="1" t="str">
        <f>TEXT(tblbills[[#This Row],[Date]],"mmm")</f>
        <v>Nov</v>
      </c>
      <c r="O208" s="1" t="str">
        <f>TEXT(tblbills[[#This Row],[Date]],"yyyy")</f>
        <v>2024</v>
      </c>
      <c r="Q208"/>
      <c r="R208"/>
      <c r="S208"/>
      <c r="T208"/>
      <c r="U208"/>
      <c r="V208"/>
    </row>
    <row r="209" spans="1:22" x14ac:dyDescent="0.3">
      <c r="A209" s="1" t="str">
        <f t="shared" si="3"/>
        <v>DE1208</v>
      </c>
      <c r="B209" s="1" t="s">
        <v>53</v>
      </c>
      <c r="C209" s="1" t="s">
        <v>66</v>
      </c>
      <c r="D209" s="1" t="s">
        <v>51</v>
      </c>
      <c r="E209" s="2">
        <v>45617</v>
      </c>
      <c r="F209" s="1">
        <v>17</v>
      </c>
      <c r="G209" s="5">
        <v>1954</v>
      </c>
      <c r="H209" s="5">
        <v>33218</v>
      </c>
      <c r="I209" s="1" t="s">
        <v>22</v>
      </c>
      <c r="J209" s="1" t="s">
        <v>21</v>
      </c>
      <c r="K209" s="1" t="s">
        <v>16</v>
      </c>
      <c r="L209" s="1">
        <v>0</v>
      </c>
      <c r="M209" s="1" t="s">
        <v>23</v>
      </c>
      <c r="N209" s="1" t="str">
        <f>TEXT(tblbills[[#This Row],[Date]],"mmm")</f>
        <v>Nov</v>
      </c>
      <c r="O209" s="1" t="str">
        <f>TEXT(tblbills[[#This Row],[Date]],"yyyy")</f>
        <v>2024</v>
      </c>
      <c r="Q209"/>
      <c r="R209"/>
      <c r="S209"/>
      <c r="T209"/>
      <c r="U209"/>
      <c r="V209"/>
    </row>
    <row r="210" spans="1:22" x14ac:dyDescent="0.3">
      <c r="A210" s="1" t="str">
        <f t="shared" si="3"/>
        <v>DE1209</v>
      </c>
      <c r="B210" s="1" t="s">
        <v>53</v>
      </c>
      <c r="C210" s="1" t="s">
        <v>68</v>
      </c>
      <c r="D210" s="1" t="s">
        <v>24</v>
      </c>
      <c r="E210" s="2">
        <v>45616</v>
      </c>
      <c r="F210" s="1">
        <v>17</v>
      </c>
      <c r="G210" s="5">
        <v>4413</v>
      </c>
      <c r="H210" s="5">
        <v>75021</v>
      </c>
      <c r="I210" s="1" t="s">
        <v>15</v>
      </c>
      <c r="J210" s="1" t="s">
        <v>14</v>
      </c>
      <c r="K210" s="1" t="s">
        <v>32</v>
      </c>
      <c r="L210" s="1">
        <v>0</v>
      </c>
      <c r="M210" s="1" t="s">
        <v>23</v>
      </c>
      <c r="N210" s="1" t="str">
        <f>TEXT(tblbills[[#This Row],[Date]],"mmm")</f>
        <v>Nov</v>
      </c>
      <c r="O210" s="1" t="str">
        <f>TEXT(tblbills[[#This Row],[Date]],"yyyy")</f>
        <v>2024</v>
      </c>
      <c r="Q210"/>
      <c r="R210"/>
      <c r="S210"/>
      <c r="T210"/>
      <c r="U210"/>
      <c r="V210"/>
    </row>
    <row r="211" spans="1:22" x14ac:dyDescent="0.3">
      <c r="A211" s="1" t="str">
        <f t="shared" si="3"/>
        <v>DE1210</v>
      </c>
      <c r="B211" s="1" t="s">
        <v>53</v>
      </c>
      <c r="C211" s="1" t="s">
        <v>66</v>
      </c>
      <c r="D211" s="1" t="s">
        <v>76</v>
      </c>
      <c r="E211" s="2">
        <v>45610</v>
      </c>
      <c r="F211" s="1">
        <v>13</v>
      </c>
      <c r="G211" s="5">
        <v>290</v>
      </c>
      <c r="H211" s="5">
        <v>3770</v>
      </c>
      <c r="I211" s="1" t="s">
        <v>22</v>
      </c>
      <c r="J211" s="1" t="s">
        <v>59</v>
      </c>
      <c r="K211" s="1" t="s">
        <v>16</v>
      </c>
      <c r="L211" s="1">
        <v>0</v>
      </c>
      <c r="M211" s="1" t="s">
        <v>33</v>
      </c>
      <c r="N211" s="1" t="str">
        <f>TEXT(tblbills[[#This Row],[Date]],"mmm")</f>
        <v>Nov</v>
      </c>
      <c r="O211" s="1" t="str">
        <f>TEXT(tblbills[[#This Row],[Date]],"yyyy")</f>
        <v>2024</v>
      </c>
      <c r="Q211"/>
      <c r="R211"/>
      <c r="S211"/>
      <c r="T211"/>
      <c r="U211"/>
      <c r="V211"/>
    </row>
    <row r="212" spans="1:22" x14ac:dyDescent="0.3">
      <c r="A212" s="1" t="str">
        <f t="shared" si="3"/>
        <v>DE1211</v>
      </c>
      <c r="B212" s="1" t="s">
        <v>53</v>
      </c>
      <c r="C212" s="1" t="s">
        <v>64</v>
      </c>
      <c r="D212" s="1" t="s">
        <v>62</v>
      </c>
      <c r="E212" s="2">
        <v>45609</v>
      </c>
      <c r="F212" s="1">
        <v>9</v>
      </c>
      <c r="G212" s="5">
        <v>1499</v>
      </c>
      <c r="H212" s="5">
        <v>13491</v>
      </c>
      <c r="I212" s="1" t="s">
        <v>22</v>
      </c>
      <c r="J212" s="1" t="s">
        <v>26</v>
      </c>
      <c r="K212" s="1" t="s">
        <v>16</v>
      </c>
      <c r="L212" s="1">
        <v>7</v>
      </c>
      <c r="M212" s="1" t="s">
        <v>23</v>
      </c>
      <c r="N212" s="1" t="str">
        <f>TEXT(tblbills[[#This Row],[Date]],"mmm")</f>
        <v>Nov</v>
      </c>
      <c r="O212" s="1" t="str">
        <f>TEXT(tblbills[[#This Row],[Date]],"yyyy")</f>
        <v>2024</v>
      </c>
      <c r="Q212"/>
      <c r="R212"/>
      <c r="S212"/>
      <c r="T212"/>
      <c r="U212"/>
      <c r="V212"/>
    </row>
    <row r="213" spans="1:22" x14ac:dyDescent="0.3">
      <c r="A213" s="1" t="str">
        <f t="shared" si="3"/>
        <v>DE1212</v>
      </c>
      <c r="B213" s="1" t="s">
        <v>53</v>
      </c>
      <c r="C213" s="1" t="s">
        <v>66</v>
      </c>
      <c r="D213" s="1" t="s">
        <v>45</v>
      </c>
      <c r="E213" s="2">
        <v>45603</v>
      </c>
      <c r="F213" s="1">
        <v>11</v>
      </c>
      <c r="G213" s="5">
        <v>2602</v>
      </c>
      <c r="H213" s="5">
        <v>28622</v>
      </c>
      <c r="I213" s="1" t="s">
        <v>27</v>
      </c>
      <c r="J213" s="1" t="s">
        <v>59</v>
      </c>
      <c r="K213" s="1" t="s">
        <v>16</v>
      </c>
      <c r="L213" s="1">
        <v>0</v>
      </c>
      <c r="M213" s="1" t="s">
        <v>23</v>
      </c>
      <c r="N213" s="1" t="str">
        <f>TEXT(tblbills[[#This Row],[Date]],"mmm")</f>
        <v>Nov</v>
      </c>
      <c r="O213" s="1" t="str">
        <f>TEXT(tblbills[[#This Row],[Date]],"yyyy")</f>
        <v>2024</v>
      </c>
      <c r="Q213"/>
      <c r="R213"/>
      <c r="S213"/>
      <c r="T213"/>
      <c r="U213"/>
      <c r="V213"/>
    </row>
    <row r="214" spans="1:22" x14ac:dyDescent="0.3">
      <c r="A214" s="1" t="str">
        <f t="shared" si="3"/>
        <v>DE1213</v>
      </c>
      <c r="B214" s="1" t="s">
        <v>53</v>
      </c>
      <c r="C214" s="1" t="s">
        <v>63</v>
      </c>
      <c r="D214" s="1" t="s">
        <v>40</v>
      </c>
      <c r="E214" s="2">
        <v>45602</v>
      </c>
      <c r="F214" s="1">
        <v>4</v>
      </c>
      <c r="G214" s="5">
        <v>442</v>
      </c>
      <c r="H214" s="5">
        <v>1768</v>
      </c>
      <c r="I214" s="1" t="s">
        <v>22</v>
      </c>
      <c r="J214" s="1" t="s">
        <v>47</v>
      </c>
      <c r="K214" s="1" t="s">
        <v>16</v>
      </c>
      <c r="L214" s="1">
        <v>0</v>
      </c>
      <c r="M214" s="1" t="s">
        <v>44</v>
      </c>
      <c r="N214" s="1" t="str">
        <f>TEXT(tblbills[[#This Row],[Date]],"mmm")</f>
        <v>Nov</v>
      </c>
      <c r="O214" s="1" t="str">
        <f>TEXT(tblbills[[#This Row],[Date]],"yyyy")</f>
        <v>2024</v>
      </c>
      <c r="Q214"/>
      <c r="R214"/>
      <c r="S214"/>
      <c r="T214"/>
      <c r="U214"/>
      <c r="V214"/>
    </row>
    <row r="215" spans="1:22" x14ac:dyDescent="0.3">
      <c r="A215" s="1" t="str">
        <f t="shared" si="3"/>
        <v>DE1214</v>
      </c>
      <c r="B215" s="1" t="s">
        <v>53</v>
      </c>
      <c r="C215" s="1" t="s">
        <v>66</v>
      </c>
      <c r="D215" s="1" t="s">
        <v>40</v>
      </c>
      <c r="E215" s="2">
        <v>45601</v>
      </c>
      <c r="F215" s="1">
        <v>3</v>
      </c>
      <c r="G215" s="5">
        <v>162</v>
      </c>
      <c r="H215" s="5">
        <v>486</v>
      </c>
      <c r="I215" s="1" t="s">
        <v>27</v>
      </c>
      <c r="J215" s="1" t="s">
        <v>26</v>
      </c>
      <c r="K215" s="1" t="s">
        <v>28</v>
      </c>
      <c r="L215" s="1">
        <v>0</v>
      </c>
      <c r="M215" s="1" t="s">
        <v>33</v>
      </c>
      <c r="N215" s="1" t="str">
        <f>TEXT(tblbills[[#This Row],[Date]],"mmm")</f>
        <v>Nov</v>
      </c>
      <c r="O215" s="1" t="str">
        <f>TEXT(tblbills[[#This Row],[Date]],"yyyy")</f>
        <v>2024</v>
      </c>
      <c r="Q215"/>
      <c r="R215"/>
      <c r="S215"/>
      <c r="T215"/>
      <c r="U215"/>
      <c r="V215"/>
    </row>
    <row r="216" spans="1:22" x14ac:dyDescent="0.3">
      <c r="A216" s="1" t="str">
        <f t="shared" si="3"/>
        <v>DE1215</v>
      </c>
      <c r="B216" s="1" t="s">
        <v>53</v>
      </c>
      <c r="C216" s="1" t="s">
        <v>63</v>
      </c>
      <c r="D216" s="1" t="s">
        <v>77</v>
      </c>
      <c r="E216" s="2">
        <v>45598</v>
      </c>
      <c r="F216" s="1">
        <v>12</v>
      </c>
      <c r="G216" s="5">
        <v>1589</v>
      </c>
      <c r="H216" s="5">
        <v>19068</v>
      </c>
      <c r="I216" s="1" t="s">
        <v>22</v>
      </c>
      <c r="J216" s="1" t="s">
        <v>14</v>
      </c>
      <c r="K216" s="1" t="s">
        <v>32</v>
      </c>
      <c r="L216" s="1">
        <v>0</v>
      </c>
      <c r="M216" s="1" t="s">
        <v>17</v>
      </c>
      <c r="N216" s="1" t="str">
        <f>TEXT(tblbills[[#This Row],[Date]],"mmm")</f>
        <v>Nov</v>
      </c>
      <c r="O216" s="1" t="str">
        <f>TEXT(tblbills[[#This Row],[Date]],"yyyy")</f>
        <v>2024</v>
      </c>
      <c r="Q216"/>
      <c r="R216"/>
      <c r="S216"/>
      <c r="T216"/>
      <c r="U216"/>
      <c r="V216"/>
    </row>
    <row r="217" spans="1:22" x14ac:dyDescent="0.3">
      <c r="A217" s="1" t="str">
        <f t="shared" si="3"/>
        <v>DE1216</v>
      </c>
      <c r="B217" s="1" t="s">
        <v>53</v>
      </c>
      <c r="C217" s="1" t="s">
        <v>68</v>
      </c>
      <c r="D217" s="1" t="s">
        <v>79</v>
      </c>
      <c r="E217" s="2">
        <v>45597</v>
      </c>
      <c r="F217" s="1">
        <v>14</v>
      </c>
      <c r="G217" s="5">
        <v>1342</v>
      </c>
      <c r="H217" s="5">
        <v>18788</v>
      </c>
      <c r="I217" s="1" t="s">
        <v>22</v>
      </c>
      <c r="J217" s="1" t="s">
        <v>39</v>
      </c>
      <c r="K217" s="1" t="s">
        <v>28</v>
      </c>
      <c r="L217" s="1">
        <v>10</v>
      </c>
      <c r="M217" s="1" t="s">
        <v>44</v>
      </c>
      <c r="N217" s="1" t="str">
        <f>TEXT(tblbills[[#This Row],[Date]],"mmm")</f>
        <v>Nov</v>
      </c>
      <c r="O217" s="1" t="str">
        <f>TEXT(tblbills[[#This Row],[Date]],"yyyy")</f>
        <v>2024</v>
      </c>
      <c r="Q217"/>
      <c r="R217"/>
      <c r="S217"/>
      <c r="T217"/>
      <c r="U217"/>
      <c r="V217"/>
    </row>
    <row r="218" spans="1:22" x14ac:dyDescent="0.3">
      <c r="A218" s="1" t="str">
        <f t="shared" si="3"/>
        <v>DE1217</v>
      </c>
      <c r="B218" s="1" t="s">
        <v>53</v>
      </c>
      <c r="C218" s="1" t="s">
        <v>54</v>
      </c>
      <c r="D218" s="1" t="s">
        <v>76</v>
      </c>
      <c r="E218" s="2">
        <v>45597</v>
      </c>
      <c r="F218" s="1">
        <v>3</v>
      </c>
      <c r="G218" s="5">
        <v>2498</v>
      </c>
      <c r="H218" s="5">
        <v>7494</v>
      </c>
      <c r="I218" s="1" t="s">
        <v>22</v>
      </c>
      <c r="J218" s="1" t="s">
        <v>14</v>
      </c>
      <c r="K218" s="1" t="s">
        <v>16</v>
      </c>
      <c r="L218" s="1">
        <v>0</v>
      </c>
      <c r="M218" s="1" t="s">
        <v>17</v>
      </c>
      <c r="N218" s="1" t="str">
        <f>TEXT(tblbills[[#This Row],[Date]],"mmm")</f>
        <v>Nov</v>
      </c>
      <c r="O218" s="1" t="str">
        <f>TEXT(tblbills[[#This Row],[Date]],"yyyy")</f>
        <v>2024</v>
      </c>
      <c r="Q218"/>
      <c r="R218"/>
      <c r="S218"/>
      <c r="T218"/>
      <c r="U218"/>
      <c r="V218"/>
    </row>
    <row r="219" spans="1:22" x14ac:dyDescent="0.3">
      <c r="A219" s="1" t="str">
        <f t="shared" si="3"/>
        <v>DE1218</v>
      </c>
      <c r="B219" s="1" t="s">
        <v>53</v>
      </c>
      <c r="C219" s="1" t="s">
        <v>68</v>
      </c>
      <c r="D219" s="1" t="s">
        <v>78</v>
      </c>
      <c r="E219" s="2">
        <v>45595</v>
      </c>
      <c r="F219" s="1">
        <v>11</v>
      </c>
      <c r="G219" s="5">
        <v>3416</v>
      </c>
      <c r="H219" s="5">
        <v>37576</v>
      </c>
      <c r="I219" s="1" t="s">
        <v>15</v>
      </c>
      <c r="J219" s="1" t="s">
        <v>39</v>
      </c>
      <c r="K219" s="1" t="s">
        <v>16</v>
      </c>
      <c r="L219" s="1">
        <v>2</v>
      </c>
      <c r="M219" s="1" t="s">
        <v>17</v>
      </c>
      <c r="N219" s="1" t="str">
        <f>TEXT(tblbills[[#This Row],[Date]],"mmm")</f>
        <v>Oct</v>
      </c>
      <c r="O219" s="1" t="str">
        <f>TEXT(tblbills[[#This Row],[Date]],"yyyy")</f>
        <v>2024</v>
      </c>
      <c r="Q219"/>
      <c r="R219"/>
      <c r="S219"/>
      <c r="T219"/>
      <c r="U219"/>
      <c r="V219"/>
    </row>
    <row r="220" spans="1:22" x14ac:dyDescent="0.3">
      <c r="A220" s="1" t="str">
        <f t="shared" si="3"/>
        <v>DE1219</v>
      </c>
      <c r="B220" s="1" t="s">
        <v>53</v>
      </c>
      <c r="C220" s="1" t="s">
        <v>64</v>
      </c>
      <c r="D220" s="1" t="s">
        <v>79</v>
      </c>
      <c r="E220" s="2">
        <v>45588</v>
      </c>
      <c r="F220" s="1">
        <v>15</v>
      </c>
      <c r="G220" s="5">
        <v>3902</v>
      </c>
      <c r="H220" s="5">
        <v>58530</v>
      </c>
      <c r="I220" s="1" t="s">
        <v>22</v>
      </c>
      <c r="J220" s="1" t="s">
        <v>21</v>
      </c>
      <c r="K220" s="1" t="s">
        <v>28</v>
      </c>
      <c r="L220" s="1">
        <v>10</v>
      </c>
      <c r="M220" s="1" t="s">
        <v>17</v>
      </c>
      <c r="N220" s="1" t="str">
        <f>TEXT(tblbills[[#This Row],[Date]],"mmm")</f>
        <v>Oct</v>
      </c>
      <c r="O220" s="1" t="str">
        <f>TEXT(tblbills[[#This Row],[Date]],"yyyy")</f>
        <v>2024</v>
      </c>
      <c r="Q220"/>
      <c r="R220"/>
      <c r="S220"/>
      <c r="T220"/>
      <c r="U220"/>
      <c r="V220"/>
    </row>
    <row r="221" spans="1:22" x14ac:dyDescent="0.3">
      <c r="A221" s="1" t="str">
        <f t="shared" si="3"/>
        <v>DE1220</v>
      </c>
      <c r="B221" s="1" t="s">
        <v>53</v>
      </c>
      <c r="C221" s="1" t="s">
        <v>68</v>
      </c>
      <c r="D221" s="1" t="s">
        <v>79</v>
      </c>
      <c r="E221" s="2">
        <v>45587</v>
      </c>
      <c r="F221" s="1">
        <v>6</v>
      </c>
      <c r="G221" s="5">
        <v>4307</v>
      </c>
      <c r="H221" s="5">
        <v>25842</v>
      </c>
      <c r="I221" s="1" t="s">
        <v>22</v>
      </c>
      <c r="J221" s="1" t="s">
        <v>39</v>
      </c>
      <c r="K221" s="1" t="s">
        <v>28</v>
      </c>
      <c r="L221" s="1">
        <v>5</v>
      </c>
      <c r="M221" s="1" t="s">
        <v>33</v>
      </c>
      <c r="N221" s="1" t="str">
        <f>TEXT(tblbills[[#This Row],[Date]],"mmm")</f>
        <v>Oct</v>
      </c>
      <c r="O221" s="1" t="str">
        <f>TEXT(tblbills[[#This Row],[Date]],"yyyy")</f>
        <v>2024</v>
      </c>
      <c r="Q221"/>
      <c r="R221"/>
      <c r="S221"/>
      <c r="T221"/>
      <c r="U221"/>
      <c r="V221"/>
    </row>
    <row r="222" spans="1:22" x14ac:dyDescent="0.3">
      <c r="A222" s="1" t="str">
        <f t="shared" si="3"/>
        <v>DE1221</v>
      </c>
      <c r="B222" s="1" t="s">
        <v>53</v>
      </c>
      <c r="C222" s="1" t="s">
        <v>66</v>
      </c>
      <c r="D222" s="1" t="s">
        <v>78</v>
      </c>
      <c r="E222" s="2">
        <v>45579</v>
      </c>
      <c r="F222" s="1">
        <v>13</v>
      </c>
      <c r="G222" s="5">
        <v>234</v>
      </c>
      <c r="H222" s="5">
        <v>3042</v>
      </c>
      <c r="I222" s="1" t="s">
        <v>27</v>
      </c>
      <c r="J222" s="1" t="s">
        <v>47</v>
      </c>
      <c r="K222" s="1" t="s">
        <v>16</v>
      </c>
      <c r="L222" s="1">
        <v>7</v>
      </c>
      <c r="M222" s="1" t="s">
        <v>17</v>
      </c>
      <c r="N222" s="1" t="str">
        <f>TEXT(tblbills[[#This Row],[Date]],"mmm")</f>
        <v>Oct</v>
      </c>
      <c r="O222" s="1" t="str">
        <f>TEXT(tblbills[[#This Row],[Date]],"yyyy")</f>
        <v>2024</v>
      </c>
      <c r="Q222"/>
      <c r="R222"/>
      <c r="S222"/>
      <c r="T222"/>
      <c r="U222"/>
      <c r="V222"/>
    </row>
    <row r="223" spans="1:22" x14ac:dyDescent="0.3">
      <c r="A223" s="1" t="str">
        <f t="shared" si="3"/>
        <v>DE1222</v>
      </c>
      <c r="B223" s="1" t="s">
        <v>53</v>
      </c>
      <c r="C223" s="1" t="s">
        <v>63</v>
      </c>
      <c r="D223" s="1" t="s">
        <v>40</v>
      </c>
      <c r="E223" s="2">
        <v>45578</v>
      </c>
      <c r="F223" s="1">
        <v>15</v>
      </c>
      <c r="G223" s="5">
        <v>485</v>
      </c>
      <c r="H223" s="5">
        <v>7275</v>
      </c>
      <c r="I223" s="1" t="s">
        <v>27</v>
      </c>
      <c r="J223" s="1" t="s">
        <v>43</v>
      </c>
      <c r="K223" s="1" t="s">
        <v>32</v>
      </c>
      <c r="L223" s="1">
        <v>5</v>
      </c>
      <c r="M223" s="1" t="s">
        <v>23</v>
      </c>
      <c r="N223" s="1" t="str">
        <f>TEXT(tblbills[[#This Row],[Date]],"mmm")</f>
        <v>Oct</v>
      </c>
      <c r="O223" s="1" t="str">
        <f>TEXT(tblbills[[#This Row],[Date]],"yyyy")</f>
        <v>2024</v>
      </c>
      <c r="Q223"/>
      <c r="R223"/>
      <c r="S223"/>
      <c r="T223"/>
      <c r="U223"/>
      <c r="V223"/>
    </row>
    <row r="224" spans="1:22" x14ac:dyDescent="0.3">
      <c r="A224" s="1" t="str">
        <f t="shared" si="3"/>
        <v>DE1223</v>
      </c>
      <c r="B224" s="1" t="s">
        <v>53</v>
      </c>
      <c r="C224" s="1" t="s">
        <v>64</v>
      </c>
      <c r="D224" s="1" t="s">
        <v>24</v>
      </c>
      <c r="E224" s="2">
        <v>45576</v>
      </c>
      <c r="F224" s="1">
        <v>3</v>
      </c>
      <c r="G224" s="5">
        <v>1984</v>
      </c>
      <c r="H224" s="5">
        <v>5952</v>
      </c>
      <c r="I224" s="1" t="s">
        <v>27</v>
      </c>
      <c r="J224" s="1" t="s">
        <v>43</v>
      </c>
      <c r="K224" s="1" t="s">
        <v>32</v>
      </c>
      <c r="L224" s="1">
        <v>2</v>
      </c>
      <c r="M224" s="1" t="s">
        <v>29</v>
      </c>
      <c r="N224" s="1" t="str">
        <f>TEXT(tblbills[[#This Row],[Date]],"mmm")</f>
        <v>Oct</v>
      </c>
      <c r="O224" s="1" t="str">
        <f>TEXT(tblbills[[#This Row],[Date]],"yyyy")</f>
        <v>2024</v>
      </c>
      <c r="Q224"/>
      <c r="R224"/>
      <c r="S224"/>
      <c r="T224"/>
      <c r="U224"/>
      <c r="V224"/>
    </row>
    <row r="225" spans="1:22" x14ac:dyDescent="0.3">
      <c r="A225" s="1" t="str">
        <f t="shared" si="3"/>
        <v>DE1224</v>
      </c>
      <c r="B225" s="1" t="s">
        <v>53</v>
      </c>
      <c r="C225" s="1" t="s">
        <v>54</v>
      </c>
      <c r="D225" s="1" t="s">
        <v>51</v>
      </c>
      <c r="E225" s="2">
        <v>45569</v>
      </c>
      <c r="F225" s="1">
        <v>14</v>
      </c>
      <c r="G225" s="5">
        <v>1312</v>
      </c>
      <c r="H225" s="5">
        <v>18368</v>
      </c>
      <c r="I225" s="1" t="s">
        <v>22</v>
      </c>
      <c r="J225" s="1" t="s">
        <v>43</v>
      </c>
      <c r="K225" s="1" t="s">
        <v>28</v>
      </c>
      <c r="L225" s="1">
        <v>0</v>
      </c>
      <c r="M225" s="1" t="s">
        <v>29</v>
      </c>
      <c r="N225" s="1" t="str">
        <f>TEXT(tblbills[[#This Row],[Date]],"mmm")</f>
        <v>Oct</v>
      </c>
      <c r="O225" s="1" t="str">
        <f>TEXT(tblbills[[#This Row],[Date]],"yyyy")</f>
        <v>2024</v>
      </c>
      <c r="Q225"/>
      <c r="R225"/>
      <c r="S225"/>
      <c r="T225"/>
      <c r="U225"/>
      <c r="V225"/>
    </row>
    <row r="226" spans="1:22" x14ac:dyDescent="0.3">
      <c r="A226" s="1" t="str">
        <f t="shared" si="3"/>
        <v>DE1225</v>
      </c>
      <c r="B226" s="1" t="s">
        <v>53</v>
      </c>
      <c r="C226" s="1" t="s">
        <v>64</v>
      </c>
      <c r="D226" s="1" t="s">
        <v>24</v>
      </c>
      <c r="E226" s="2">
        <v>45568</v>
      </c>
      <c r="F226" s="1">
        <v>4</v>
      </c>
      <c r="G226" s="5">
        <v>3362</v>
      </c>
      <c r="H226" s="5">
        <v>13448</v>
      </c>
      <c r="I226" s="1" t="s">
        <v>22</v>
      </c>
      <c r="J226" s="1" t="s">
        <v>47</v>
      </c>
      <c r="K226" s="1" t="s">
        <v>32</v>
      </c>
      <c r="L226" s="1">
        <v>7</v>
      </c>
      <c r="M226" s="1" t="s">
        <v>44</v>
      </c>
      <c r="N226" s="1" t="str">
        <f>TEXT(tblbills[[#This Row],[Date]],"mmm")</f>
        <v>Oct</v>
      </c>
      <c r="O226" s="1" t="str">
        <f>TEXT(tblbills[[#This Row],[Date]],"yyyy")</f>
        <v>2024</v>
      </c>
      <c r="Q226"/>
      <c r="R226"/>
      <c r="S226"/>
      <c r="T226"/>
      <c r="U226"/>
      <c r="V226"/>
    </row>
    <row r="227" spans="1:22" x14ac:dyDescent="0.3">
      <c r="A227" s="1" t="str">
        <f t="shared" si="3"/>
        <v>DE1226</v>
      </c>
      <c r="B227" s="1" t="s">
        <v>53</v>
      </c>
      <c r="C227" s="1" t="s">
        <v>68</v>
      </c>
      <c r="D227" s="1" t="s">
        <v>65</v>
      </c>
      <c r="E227" s="2">
        <v>45567</v>
      </c>
      <c r="F227" s="1">
        <v>1</v>
      </c>
      <c r="G227" s="5">
        <v>3010</v>
      </c>
      <c r="H227" s="5">
        <v>3010</v>
      </c>
      <c r="I227" s="1" t="s">
        <v>15</v>
      </c>
      <c r="J227" s="1" t="s">
        <v>43</v>
      </c>
      <c r="K227" s="1" t="s">
        <v>16</v>
      </c>
      <c r="L227" s="1">
        <v>0</v>
      </c>
      <c r="M227" s="1" t="s">
        <v>29</v>
      </c>
      <c r="N227" s="1" t="str">
        <f>TEXT(tblbills[[#This Row],[Date]],"mmm")</f>
        <v>Oct</v>
      </c>
      <c r="O227" s="1" t="str">
        <f>TEXT(tblbills[[#This Row],[Date]],"yyyy")</f>
        <v>2024</v>
      </c>
      <c r="Q227"/>
      <c r="R227"/>
      <c r="S227"/>
      <c r="T227"/>
      <c r="U227"/>
      <c r="V227"/>
    </row>
    <row r="228" spans="1:22" x14ac:dyDescent="0.3">
      <c r="A228" s="1" t="str">
        <f t="shared" si="3"/>
        <v>DE1227</v>
      </c>
      <c r="B228" s="1" t="s">
        <v>53</v>
      </c>
      <c r="C228" s="1" t="s">
        <v>64</v>
      </c>
      <c r="D228" s="1" t="s">
        <v>62</v>
      </c>
      <c r="E228" s="2">
        <v>45565</v>
      </c>
      <c r="F228" s="1">
        <v>20</v>
      </c>
      <c r="G228" s="5">
        <v>2746</v>
      </c>
      <c r="H228" s="5">
        <v>54920</v>
      </c>
      <c r="I228" s="1" t="s">
        <v>22</v>
      </c>
      <c r="J228" s="1" t="s">
        <v>39</v>
      </c>
      <c r="K228" s="1" t="s">
        <v>28</v>
      </c>
      <c r="L228" s="1">
        <v>2</v>
      </c>
      <c r="M228" s="1" t="s">
        <v>44</v>
      </c>
      <c r="N228" s="1" t="str">
        <f>TEXT(tblbills[[#This Row],[Date]],"mmm")</f>
        <v>Sep</v>
      </c>
      <c r="O228" s="1" t="str">
        <f>TEXT(tblbills[[#This Row],[Date]],"yyyy")</f>
        <v>2024</v>
      </c>
      <c r="Q228"/>
      <c r="R228"/>
      <c r="S228"/>
      <c r="T228"/>
      <c r="U228"/>
      <c r="V228"/>
    </row>
    <row r="229" spans="1:22" x14ac:dyDescent="0.3">
      <c r="A229" s="1" t="str">
        <f t="shared" si="3"/>
        <v>DE1228</v>
      </c>
      <c r="B229" s="1" t="s">
        <v>53</v>
      </c>
      <c r="C229" s="1" t="s">
        <v>66</v>
      </c>
      <c r="D229" s="1" t="s">
        <v>11</v>
      </c>
      <c r="E229" s="2">
        <v>45562</v>
      </c>
      <c r="F229" s="1">
        <v>14</v>
      </c>
      <c r="G229" s="5">
        <v>2519</v>
      </c>
      <c r="H229" s="5">
        <v>35266</v>
      </c>
      <c r="I229" s="1" t="s">
        <v>27</v>
      </c>
      <c r="J229" s="1" t="s">
        <v>21</v>
      </c>
      <c r="K229" s="1" t="s">
        <v>32</v>
      </c>
      <c r="L229" s="1">
        <v>5</v>
      </c>
      <c r="M229" s="1" t="s">
        <v>33</v>
      </c>
      <c r="N229" s="1" t="str">
        <f>TEXT(tblbills[[#This Row],[Date]],"mmm")</f>
        <v>Sep</v>
      </c>
      <c r="O229" s="1" t="str">
        <f>TEXT(tblbills[[#This Row],[Date]],"yyyy")</f>
        <v>2024</v>
      </c>
      <c r="Q229"/>
      <c r="R229"/>
      <c r="S229"/>
      <c r="T229"/>
      <c r="U229"/>
      <c r="V229"/>
    </row>
    <row r="230" spans="1:22" x14ac:dyDescent="0.3">
      <c r="A230" s="1" t="str">
        <f t="shared" si="3"/>
        <v>DE1229</v>
      </c>
      <c r="B230" s="1" t="s">
        <v>53</v>
      </c>
      <c r="C230" s="1" t="s">
        <v>66</v>
      </c>
      <c r="D230" s="1" t="s">
        <v>57</v>
      </c>
      <c r="E230" s="2">
        <v>45562</v>
      </c>
      <c r="F230" s="1">
        <v>8</v>
      </c>
      <c r="G230" s="5">
        <v>4114</v>
      </c>
      <c r="H230" s="5">
        <v>32912</v>
      </c>
      <c r="I230" s="1" t="s">
        <v>27</v>
      </c>
      <c r="J230" s="1" t="s">
        <v>26</v>
      </c>
      <c r="K230" s="1" t="s">
        <v>28</v>
      </c>
      <c r="L230" s="1">
        <v>7</v>
      </c>
      <c r="M230" s="1" t="s">
        <v>17</v>
      </c>
      <c r="N230" s="1" t="str">
        <f>TEXT(tblbills[[#This Row],[Date]],"mmm")</f>
        <v>Sep</v>
      </c>
      <c r="O230" s="1" t="str">
        <f>TEXT(tblbills[[#This Row],[Date]],"yyyy")</f>
        <v>2024</v>
      </c>
      <c r="Q230"/>
      <c r="R230"/>
      <c r="S230"/>
      <c r="T230"/>
      <c r="U230"/>
      <c r="V230"/>
    </row>
    <row r="231" spans="1:22" x14ac:dyDescent="0.3">
      <c r="A231" s="1" t="str">
        <f t="shared" si="3"/>
        <v>DE1230</v>
      </c>
      <c r="B231" s="1" t="s">
        <v>53</v>
      </c>
      <c r="C231" s="1" t="s">
        <v>54</v>
      </c>
      <c r="D231" s="1" t="s">
        <v>11</v>
      </c>
      <c r="E231" s="2">
        <v>45556</v>
      </c>
      <c r="F231" s="1">
        <v>20</v>
      </c>
      <c r="G231" s="5">
        <v>1929</v>
      </c>
      <c r="H231" s="5">
        <v>38580</v>
      </c>
      <c r="I231" s="1" t="s">
        <v>15</v>
      </c>
      <c r="J231" s="1" t="s">
        <v>43</v>
      </c>
      <c r="K231" s="1" t="s">
        <v>16</v>
      </c>
      <c r="L231" s="1">
        <v>5</v>
      </c>
      <c r="M231" s="1" t="s">
        <v>33</v>
      </c>
      <c r="N231" s="1" t="str">
        <f>TEXT(tblbills[[#This Row],[Date]],"mmm")</f>
        <v>Sep</v>
      </c>
      <c r="O231" s="1" t="str">
        <f>TEXT(tblbills[[#This Row],[Date]],"yyyy")</f>
        <v>2024</v>
      </c>
      <c r="Q231"/>
      <c r="R231"/>
      <c r="S231"/>
      <c r="T231"/>
      <c r="U231"/>
      <c r="V231"/>
    </row>
    <row r="232" spans="1:22" x14ac:dyDescent="0.3">
      <c r="A232" s="1" t="str">
        <f t="shared" si="3"/>
        <v>DE1231</v>
      </c>
      <c r="B232" s="1" t="s">
        <v>53</v>
      </c>
      <c r="C232" s="1" t="s">
        <v>64</v>
      </c>
      <c r="D232" s="1" t="s">
        <v>30</v>
      </c>
      <c r="E232" s="2">
        <v>45551</v>
      </c>
      <c r="F232" s="1">
        <v>7</v>
      </c>
      <c r="G232" s="5">
        <v>1765</v>
      </c>
      <c r="H232" s="5">
        <v>12355</v>
      </c>
      <c r="I232" s="1" t="s">
        <v>27</v>
      </c>
      <c r="J232" s="1" t="s">
        <v>14</v>
      </c>
      <c r="K232" s="1" t="s">
        <v>32</v>
      </c>
      <c r="L232" s="1">
        <v>7</v>
      </c>
      <c r="M232" s="1" t="s">
        <v>23</v>
      </c>
      <c r="N232" s="1" t="str">
        <f>TEXT(tblbills[[#This Row],[Date]],"mmm")</f>
        <v>Sep</v>
      </c>
      <c r="O232" s="1" t="str">
        <f>TEXT(tblbills[[#This Row],[Date]],"yyyy")</f>
        <v>2024</v>
      </c>
      <c r="Q232"/>
      <c r="R232"/>
      <c r="S232"/>
      <c r="T232"/>
      <c r="U232"/>
      <c r="V232"/>
    </row>
    <row r="233" spans="1:22" x14ac:dyDescent="0.3">
      <c r="A233" s="1" t="str">
        <f t="shared" si="3"/>
        <v>DE1232</v>
      </c>
      <c r="B233" s="1" t="s">
        <v>53</v>
      </c>
      <c r="C233" s="1" t="s">
        <v>66</v>
      </c>
      <c r="D233" s="1" t="s">
        <v>18</v>
      </c>
      <c r="E233" s="2">
        <v>45535</v>
      </c>
      <c r="F233" s="1">
        <v>17</v>
      </c>
      <c r="G233" s="5">
        <v>551</v>
      </c>
      <c r="H233" s="5">
        <v>9367</v>
      </c>
      <c r="I233" s="1" t="s">
        <v>22</v>
      </c>
      <c r="J233" s="1" t="s">
        <v>59</v>
      </c>
      <c r="K233" s="1" t="s">
        <v>32</v>
      </c>
      <c r="L233" s="1">
        <v>0</v>
      </c>
      <c r="M233" s="1" t="s">
        <v>44</v>
      </c>
      <c r="N233" s="1" t="str">
        <f>TEXT(tblbills[[#This Row],[Date]],"mmm")</f>
        <v>Aug</v>
      </c>
      <c r="O233" s="1" t="str">
        <f>TEXT(tblbills[[#This Row],[Date]],"yyyy")</f>
        <v>2024</v>
      </c>
      <c r="Q233"/>
      <c r="R233"/>
      <c r="S233"/>
      <c r="T233"/>
      <c r="U233"/>
      <c r="V233"/>
    </row>
    <row r="234" spans="1:22" x14ac:dyDescent="0.3">
      <c r="A234" s="1" t="str">
        <f t="shared" si="3"/>
        <v>DE1233</v>
      </c>
      <c r="B234" s="1" t="s">
        <v>53</v>
      </c>
      <c r="C234" s="1" t="s">
        <v>66</v>
      </c>
      <c r="D234" s="1" t="s">
        <v>65</v>
      </c>
      <c r="E234" s="2">
        <v>45535</v>
      </c>
      <c r="F234" s="1">
        <v>4</v>
      </c>
      <c r="G234" s="5">
        <v>2259</v>
      </c>
      <c r="H234" s="5">
        <v>9036</v>
      </c>
      <c r="I234" s="1" t="s">
        <v>15</v>
      </c>
      <c r="J234" s="1" t="s">
        <v>26</v>
      </c>
      <c r="K234" s="1" t="s">
        <v>16</v>
      </c>
      <c r="L234" s="1">
        <v>2</v>
      </c>
      <c r="M234" s="1" t="s">
        <v>44</v>
      </c>
      <c r="N234" s="1" t="str">
        <f>TEXT(tblbills[[#This Row],[Date]],"mmm")</f>
        <v>Aug</v>
      </c>
      <c r="O234" s="1" t="str">
        <f>TEXT(tblbills[[#This Row],[Date]],"yyyy")</f>
        <v>2024</v>
      </c>
      <c r="Q234"/>
      <c r="R234"/>
      <c r="S234"/>
      <c r="T234"/>
      <c r="U234"/>
      <c r="V234"/>
    </row>
    <row r="235" spans="1:22" x14ac:dyDescent="0.3">
      <c r="A235" s="1" t="str">
        <f t="shared" si="3"/>
        <v>DE1234</v>
      </c>
      <c r="B235" s="1" t="s">
        <v>53</v>
      </c>
      <c r="C235" s="1" t="s">
        <v>63</v>
      </c>
      <c r="D235" s="1" t="s">
        <v>62</v>
      </c>
      <c r="E235" s="2">
        <v>45527</v>
      </c>
      <c r="F235" s="1">
        <v>20</v>
      </c>
      <c r="G235" s="5">
        <v>1058</v>
      </c>
      <c r="H235" s="5">
        <v>21160</v>
      </c>
      <c r="I235" s="1" t="s">
        <v>22</v>
      </c>
      <c r="J235" s="1" t="s">
        <v>47</v>
      </c>
      <c r="K235" s="1" t="s">
        <v>32</v>
      </c>
      <c r="L235" s="1">
        <v>5</v>
      </c>
      <c r="M235" s="1" t="s">
        <v>33</v>
      </c>
      <c r="N235" s="1" t="str">
        <f>TEXT(tblbills[[#This Row],[Date]],"mmm")</f>
        <v>Aug</v>
      </c>
      <c r="O235" s="1" t="str">
        <f>TEXT(tblbills[[#This Row],[Date]],"yyyy")</f>
        <v>2024</v>
      </c>
      <c r="Q235"/>
      <c r="R235"/>
      <c r="S235"/>
      <c r="T235"/>
      <c r="U235"/>
      <c r="V235"/>
    </row>
    <row r="236" spans="1:22" x14ac:dyDescent="0.3">
      <c r="A236" s="1" t="str">
        <f t="shared" si="3"/>
        <v>DE1235</v>
      </c>
      <c r="B236" s="1" t="s">
        <v>53</v>
      </c>
      <c r="C236" s="1" t="s">
        <v>68</v>
      </c>
      <c r="D236" s="1" t="s">
        <v>36</v>
      </c>
      <c r="E236" s="2">
        <v>45521</v>
      </c>
      <c r="F236" s="1">
        <v>15</v>
      </c>
      <c r="G236" s="5">
        <v>4219</v>
      </c>
      <c r="H236" s="5">
        <v>63285</v>
      </c>
      <c r="I236" s="1" t="s">
        <v>27</v>
      </c>
      <c r="J236" s="1" t="s">
        <v>47</v>
      </c>
      <c r="K236" s="1" t="s">
        <v>32</v>
      </c>
      <c r="L236" s="1">
        <v>2</v>
      </c>
      <c r="M236" s="1" t="s">
        <v>29</v>
      </c>
      <c r="N236" s="1" t="str">
        <f>TEXT(tblbills[[#This Row],[Date]],"mmm")</f>
        <v>Aug</v>
      </c>
      <c r="O236" s="1" t="str">
        <f>TEXT(tblbills[[#This Row],[Date]],"yyyy")</f>
        <v>2024</v>
      </c>
      <c r="Q236"/>
      <c r="R236"/>
      <c r="S236"/>
      <c r="T236"/>
      <c r="U236"/>
      <c r="V236"/>
    </row>
    <row r="237" spans="1:22" x14ac:dyDescent="0.3">
      <c r="A237" s="1" t="str">
        <f t="shared" si="3"/>
        <v>DE1236</v>
      </c>
      <c r="B237" s="1" t="s">
        <v>53</v>
      </c>
      <c r="C237" s="1" t="s">
        <v>54</v>
      </c>
      <c r="D237" s="1" t="s">
        <v>11</v>
      </c>
      <c r="E237" s="2">
        <v>45514</v>
      </c>
      <c r="F237" s="1">
        <v>18</v>
      </c>
      <c r="G237" s="5">
        <v>780</v>
      </c>
      <c r="H237" s="5">
        <v>14040</v>
      </c>
      <c r="I237" s="1" t="s">
        <v>27</v>
      </c>
      <c r="J237" s="1" t="s">
        <v>39</v>
      </c>
      <c r="K237" s="1" t="s">
        <v>28</v>
      </c>
      <c r="L237" s="1">
        <v>7</v>
      </c>
      <c r="M237" s="1" t="s">
        <v>29</v>
      </c>
      <c r="N237" s="1" t="str">
        <f>TEXT(tblbills[[#This Row],[Date]],"mmm")</f>
        <v>Aug</v>
      </c>
      <c r="O237" s="1" t="str">
        <f>TEXT(tblbills[[#This Row],[Date]],"yyyy")</f>
        <v>2024</v>
      </c>
      <c r="Q237"/>
      <c r="R237"/>
      <c r="S237"/>
      <c r="T237"/>
      <c r="U237"/>
      <c r="V237"/>
    </row>
    <row r="238" spans="1:22" x14ac:dyDescent="0.3">
      <c r="A238" s="1" t="str">
        <f t="shared" si="3"/>
        <v>DE1237</v>
      </c>
      <c r="B238" s="1" t="s">
        <v>53</v>
      </c>
      <c r="C238" s="1" t="s">
        <v>68</v>
      </c>
      <c r="D238" s="1" t="s">
        <v>78</v>
      </c>
      <c r="E238" s="2">
        <v>45511</v>
      </c>
      <c r="F238" s="1">
        <v>6</v>
      </c>
      <c r="G238" s="5">
        <v>1764</v>
      </c>
      <c r="H238" s="5">
        <v>10584</v>
      </c>
      <c r="I238" s="1" t="s">
        <v>22</v>
      </c>
      <c r="J238" s="1" t="s">
        <v>26</v>
      </c>
      <c r="K238" s="1" t="s">
        <v>32</v>
      </c>
      <c r="L238" s="1">
        <v>10</v>
      </c>
      <c r="M238" s="1" t="s">
        <v>44</v>
      </c>
      <c r="N238" s="1" t="str">
        <f>TEXT(tblbills[[#This Row],[Date]],"mmm")</f>
        <v>Aug</v>
      </c>
      <c r="O238" s="1" t="str">
        <f>TEXT(tblbills[[#This Row],[Date]],"yyyy")</f>
        <v>2024</v>
      </c>
      <c r="Q238"/>
      <c r="R238"/>
      <c r="S238"/>
      <c r="T238"/>
      <c r="U238"/>
      <c r="V238"/>
    </row>
    <row r="239" spans="1:22" x14ac:dyDescent="0.3">
      <c r="A239" s="1" t="str">
        <f t="shared" si="3"/>
        <v>DE1238</v>
      </c>
      <c r="B239" s="1" t="s">
        <v>53</v>
      </c>
      <c r="C239" s="1" t="s">
        <v>63</v>
      </c>
      <c r="D239" s="1" t="s">
        <v>62</v>
      </c>
      <c r="E239" s="2">
        <v>45511</v>
      </c>
      <c r="F239" s="1">
        <v>9</v>
      </c>
      <c r="G239" s="5">
        <v>3362</v>
      </c>
      <c r="H239" s="5">
        <v>30258</v>
      </c>
      <c r="I239" s="1" t="s">
        <v>27</v>
      </c>
      <c r="J239" s="1" t="s">
        <v>43</v>
      </c>
      <c r="K239" s="1" t="s">
        <v>28</v>
      </c>
      <c r="L239" s="1">
        <v>2</v>
      </c>
      <c r="M239" s="1" t="s">
        <v>29</v>
      </c>
      <c r="N239" s="1" t="str">
        <f>TEXT(tblbills[[#This Row],[Date]],"mmm")</f>
        <v>Aug</v>
      </c>
      <c r="O239" s="1" t="str">
        <f>TEXT(tblbills[[#This Row],[Date]],"yyyy")</f>
        <v>2024</v>
      </c>
      <c r="Q239"/>
      <c r="R239"/>
      <c r="S239"/>
      <c r="T239"/>
      <c r="U239"/>
      <c r="V239"/>
    </row>
    <row r="240" spans="1:22" x14ac:dyDescent="0.3">
      <c r="A240" s="1" t="str">
        <f t="shared" si="3"/>
        <v>DE1239</v>
      </c>
      <c r="B240" s="1" t="s">
        <v>53</v>
      </c>
      <c r="C240" s="1" t="s">
        <v>66</v>
      </c>
      <c r="D240" s="1" t="s">
        <v>77</v>
      </c>
      <c r="E240" s="2">
        <v>45502</v>
      </c>
      <c r="F240" s="1">
        <v>10</v>
      </c>
      <c r="G240" s="5">
        <v>486</v>
      </c>
      <c r="H240" s="5">
        <v>4860</v>
      </c>
      <c r="I240" s="1" t="s">
        <v>27</v>
      </c>
      <c r="J240" s="1" t="s">
        <v>59</v>
      </c>
      <c r="K240" s="1" t="s">
        <v>28</v>
      </c>
      <c r="L240" s="1">
        <v>7</v>
      </c>
      <c r="M240" s="1" t="s">
        <v>23</v>
      </c>
      <c r="N240" s="1" t="str">
        <f>TEXT(tblbills[[#This Row],[Date]],"mmm")</f>
        <v>Jul</v>
      </c>
      <c r="O240" s="1" t="str">
        <f>TEXT(tblbills[[#This Row],[Date]],"yyyy")</f>
        <v>2024</v>
      </c>
      <c r="Q240"/>
      <c r="R240"/>
      <c r="S240"/>
      <c r="T240"/>
      <c r="U240"/>
      <c r="V240"/>
    </row>
    <row r="241" spans="1:22" x14ac:dyDescent="0.3">
      <c r="A241" s="1" t="str">
        <f t="shared" si="3"/>
        <v>DE1240</v>
      </c>
      <c r="B241" s="1" t="s">
        <v>53</v>
      </c>
      <c r="C241" s="1" t="s">
        <v>64</v>
      </c>
      <c r="D241" s="1" t="s">
        <v>30</v>
      </c>
      <c r="E241" s="2">
        <v>45499</v>
      </c>
      <c r="F241" s="1">
        <v>9</v>
      </c>
      <c r="G241" s="5">
        <v>1244</v>
      </c>
      <c r="H241" s="5">
        <v>11196</v>
      </c>
      <c r="I241" s="1" t="s">
        <v>22</v>
      </c>
      <c r="J241" s="1" t="s">
        <v>14</v>
      </c>
      <c r="K241" s="1" t="s">
        <v>28</v>
      </c>
      <c r="L241" s="1">
        <v>0</v>
      </c>
      <c r="M241" s="1" t="s">
        <v>23</v>
      </c>
      <c r="N241" s="1" t="str">
        <f>TEXT(tblbills[[#This Row],[Date]],"mmm")</f>
        <v>Jul</v>
      </c>
      <c r="O241" s="1" t="str">
        <f>TEXT(tblbills[[#This Row],[Date]],"yyyy")</f>
        <v>2024</v>
      </c>
      <c r="Q241"/>
      <c r="R241"/>
      <c r="S241"/>
      <c r="T241"/>
      <c r="U241"/>
      <c r="V241"/>
    </row>
    <row r="242" spans="1:22" x14ac:dyDescent="0.3">
      <c r="A242" s="1" t="str">
        <f t="shared" si="3"/>
        <v>DE1241</v>
      </c>
      <c r="B242" s="1" t="s">
        <v>53</v>
      </c>
      <c r="C242" s="1" t="s">
        <v>63</v>
      </c>
      <c r="D242" s="1" t="s">
        <v>18</v>
      </c>
      <c r="E242" s="2">
        <v>45498</v>
      </c>
      <c r="F242" s="1">
        <v>13</v>
      </c>
      <c r="G242" s="5">
        <v>4078</v>
      </c>
      <c r="H242" s="5">
        <v>53014</v>
      </c>
      <c r="I242" s="1" t="s">
        <v>22</v>
      </c>
      <c r="J242" s="1" t="s">
        <v>43</v>
      </c>
      <c r="K242" s="1" t="s">
        <v>16</v>
      </c>
      <c r="L242" s="1">
        <v>0</v>
      </c>
      <c r="M242" s="1" t="s">
        <v>29</v>
      </c>
      <c r="N242" s="1" t="str">
        <f>TEXT(tblbills[[#This Row],[Date]],"mmm")</f>
        <v>Jul</v>
      </c>
      <c r="O242" s="1" t="str">
        <f>TEXT(tblbills[[#This Row],[Date]],"yyyy")</f>
        <v>2024</v>
      </c>
      <c r="Q242"/>
      <c r="R242"/>
      <c r="S242"/>
      <c r="T242"/>
      <c r="U242"/>
      <c r="V242"/>
    </row>
    <row r="243" spans="1:22" x14ac:dyDescent="0.3">
      <c r="A243" s="1" t="str">
        <f t="shared" si="3"/>
        <v>DE1242</v>
      </c>
      <c r="B243" s="1" t="s">
        <v>53</v>
      </c>
      <c r="C243" s="1" t="s">
        <v>68</v>
      </c>
      <c r="D243" s="1" t="s">
        <v>77</v>
      </c>
      <c r="E243" s="2">
        <v>45498</v>
      </c>
      <c r="F243" s="1">
        <v>1</v>
      </c>
      <c r="G243" s="5">
        <v>4402</v>
      </c>
      <c r="H243" s="5">
        <v>4402</v>
      </c>
      <c r="I243" s="1" t="s">
        <v>15</v>
      </c>
      <c r="J243" s="1" t="s">
        <v>43</v>
      </c>
      <c r="K243" s="1" t="s">
        <v>16</v>
      </c>
      <c r="L243" s="1">
        <v>0</v>
      </c>
      <c r="M243" s="1" t="s">
        <v>44</v>
      </c>
      <c r="N243" s="1" t="str">
        <f>TEXT(tblbills[[#This Row],[Date]],"mmm")</f>
        <v>Jul</v>
      </c>
      <c r="O243" s="1" t="str">
        <f>TEXT(tblbills[[#This Row],[Date]],"yyyy")</f>
        <v>2024</v>
      </c>
      <c r="Q243"/>
      <c r="R243"/>
      <c r="S243"/>
      <c r="T243"/>
      <c r="U243"/>
      <c r="V243"/>
    </row>
    <row r="244" spans="1:22" x14ac:dyDescent="0.3">
      <c r="A244" s="1" t="str">
        <f t="shared" si="3"/>
        <v>DE1243</v>
      </c>
      <c r="B244" s="1" t="s">
        <v>53</v>
      </c>
      <c r="C244" s="1" t="s">
        <v>66</v>
      </c>
      <c r="D244" s="1" t="s">
        <v>34</v>
      </c>
      <c r="E244" s="2">
        <v>45497</v>
      </c>
      <c r="F244" s="1">
        <v>13</v>
      </c>
      <c r="G244" s="5">
        <v>2639</v>
      </c>
      <c r="H244" s="5">
        <v>34307</v>
      </c>
      <c r="I244" s="1" t="s">
        <v>15</v>
      </c>
      <c r="J244" s="1" t="s">
        <v>21</v>
      </c>
      <c r="K244" s="1" t="s">
        <v>32</v>
      </c>
      <c r="L244" s="1">
        <v>0</v>
      </c>
      <c r="M244" s="1" t="s">
        <v>44</v>
      </c>
      <c r="N244" s="1" t="str">
        <f>TEXT(tblbills[[#This Row],[Date]],"mmm")</f>
        <v>Jul</v>
      </c>
      <c r="O244" s="1" t="str">
        <f>TEXT(tblbills[[#This Row],[Date]],"yyyy")</f>
        <v>2024</v>
      </c>
      <c r="Q244"/>
      <c r="R244"/>
      <c r="S244"/>
      <c r="T244"/>
      <c r="U244"/>
      <c r="V244"/>
    </row>
    <row r="245" spans="1:22" x14ac:dyDescent="0.3">
      <c r="A245" s="1" t="str">
        <f t="shared" si="3"/>
        <v>DE1244</v>
      </c>
      <c r="B245" s="1" t="s">
        <v>53</v>
      </c>
      <c r="C245" s="1" t="s">
        <v>54</v>
      </c>
      <c r="D245" s="1" t="s">
        <v>76</v>
      </c>
      <c r="E245" s="2">
        <v>45495</v>
      </c>
      <c r="F245" s="1">
        <v>15</v>
      </c>
      <c r="G245" s="5">
        <v>530</v>
      </c>
      <c r="H245" s="5">
        <v>7950</v>
      </c>
      <c r="I245" s="1" t="s">
        <v>15</v>
      </c>
      <c r="J245" s="1" t="s">
        <v>59</v>
      </c>
      <c r="K245" s="1" t="s">
        <v>32</v>
      </c>
      <c r="L245" s="1">
        <v>10</v>
      </c>
      <c r="M245" s="1" t="s">
        <v>33</v>
      </c>
      <c r="N245" s="1" t="str">
        <f>TEXT(tblbills[[#This Row],[Date]],"mmm")</f>
        <v>Jul</v>
      </c>
      <c r="O245" s="1" t="str">
        <f>TEXT(tblbills[[#This Row],[Date]],"yyyy")</f>
        <v>2024</v>
      </c>
      <c r="Q245"/>
      <c r="R245"/>
      <c r="S245"/>
      <c r="T245"/>
      <c r="U245"/>
      <c r="V245"/>
    </row>
    <row r="246" spans="1:22" x14ac:dyDescent="0.3">
      <c r="A246" s="1" t="str">
        <f t="shared" si="3"/>
        <v>DE1245</v>
      </c>
      <c r="B246" s="1" t="s">
        <v>53</v>
      </c>
      <c r="C246" s="1" t="s">
        <v>64</v>
      </c>
      <c r="D246" s="1" t="s">
        <v>18</v>
      </c>
      <c r="E246" s="2">
        <v>45491</v>
      </c>
      <c r="F246" s="1">
        <v>1</v>
      </c>
      <c r="G246" s="5">
        <v>3462</v>
      </c>
      <c r="H246" s="5">
        <v>3462</v>
      </c>
      <c r="I246" s="1" t="s">
        <v>15</v>
      </c>
      <c r="J246" s="1" t="s">
        <v>59</v>
      </c>
      <c r="K246" s="1" t="s">
        <v>28</v>
      </c>
      <c r="L246" s="1">
        <v>7</v>
      </c>
      <c r="M246" s="1" t="s">
        <v>33</v>
      </c>
      <c r="N246" s="1" t="str">
        <f>TEXT(tblbills[[#This Row],[Date]],"mmm")</f>
        <v>Jul</v>
      </c>
      <c r="O246" s="1" t="str">
        <f>TEXT(tblbills[[#This Row],[Date]],"yyyy")</f>
        <v>2024</v>
      </c>
      <c r="Q246"/>
      <c r="R246"/>
      <c r="S246"/>
      <c r="T246"/>
      <c r="U246"/>
      <c r="V246"/>
    </row>
    <row r="247" spans="1:22" x14ac:dyDescent="0.3">
      <c r="A247" s="1" t="str">
        <f t="shared" si="3"/>
        <v>DE1246</v>
      </c>
      <c r="B247" s="1" t="s">
        <v>53</v>
      </c>
      <c r="C247" s="1" t="s">
        <v>63</v>
      </c>
      <c r="D247" s="1" t="s">
        <v>56</v>
      </c>
      <c r="E247" s="2">
        <v>45490</v>
      </c>
      <c r="F247" s="1">
        <v>16</v>
      </c>
      <c r="G247" s="5">
        <v>430</v>
      </c>
      <c r="H247" s="5">
        <v>6880</v>
      </c>
      <c r="I247" s="1" t="s">
        <v>22</v>
      </c>
      <c r="J247" s="1" t="s">
        <v>39</v>
      </c>
      <c r="K247" s="1" t="s">
        <v>28</v>
      </c>
      <c r="L247" s="1">
        <v>5</v>
      </c>
      <c r="M247" s="1" t="s">
        <v>29</v>
      </c>
      <c r="N247" s="1" t="str">
        <f>TEXT(tblbills[[#This Row],[Date]],"mmm")</f>
        <v>Jul</v>
      </c>
      <c r="O247" s="1" t="str">
        <f>TEXT(tblbills[[#This Row],[Date]],"yyyy")</f>
        <v>2024</v>
      </c>
      <c r="Q247"/>
      <c r="R247"/>
      <c r="S247"/>
      <c r="T247"/>
      <c r="U247"/>
      <c r="V247"/>
    </row>
    <row r="248" spans="1:22" x14ac:dyDescent="0.3">
      <c r="A248" s="1" t="str">
        <f t="shared" si="3"/>
        <v>DE1247</v>
      </c>
      <c r="B248" s="1" t="s">
        <v>53</v>
      </c>
      <c r="C248" s="1" t="s">
        <v>68</v>
      </c>
      <c r="D248" s="1" t="s">
        <v>49</v>
      </c>
      <c r="E248" s="2">
        <v>45485</v>
      </c>
      <c r="F248" s="1">
        <v>2</v>
      </c>
      <c r="G248" s="5">
        <v>2825</v>
      </c>
      <c r="H248" s="5">
        <v>5650</v>
      </c>
      <c r="I248" s="1" t="s">
        <v>27</v>
      </c>
      <c r="J248" s="1" t="s">
        <v>47</v>
      </c>
      <c r="K248" s="1" t="s">
        <v>28</v>
      </c>
      <c r="L248" s="1">
        <v>5</v>
      </c>
      <c r="M248" s="1" t="s">
        <v>23</v>
      </c>
      <c r="N248" s="1" t="str">
        <f>TEXT(tblbills[[#This Row],[Date]],"mmm")</f>
        <v>Jul</v>
      </c>
      <c r="O248" s="1" t="str">
        <f>TEXT(tblbills[[#This Row],[Date]],"yyyy")</f>
        <v>2024</v>
      </c>
      <c r="Q248"/>
      <c r="R248"/>
      <c r="S248"/>
      <c r="T248"/>
      <c r="U248"/>
      <c r="V248"/>
    </row>
    <row r="249" spans="1:22" x14ac:dyDescent="0.3">
      <c r="A249" s="1" t="str">
        <f t="shared" si="3"/>
        <v>DE1248</v>
      </c>
      <c r="B249" s="1" t="s">
        <v>53</v>
      </c>
      <c r="C249" s="1" t="s">
        <v>64</v>
      </c>
      <c r="D249" s="1" t="s">
        <v>30</v>
      </c>
      <c r="E249" s="2">
        <v>45484</v>
      </c>
      <c r="F249" s="1">
        <v>16</v>
      </c>
      <c r="G249" s="5">
        <v>3781</v>
      </c>
      <c r="H249" s="5">
        <v>60496</v>
      </c>
      <c r="I249" s="1" t="s">
        <v>27</v>
      </c>
      <c r="J249" s="1" t="s">
        <v>21</v>
      </c>
      <c r="K249" s="1" t="s">
        <v>16</v>
      </c>
      <c r="L249" s="1">
        <v>0</v>
      </c>
      <c r="M249" s="1" t="s">
        <v>44</v>
      </c>
      <c r="N249" s="1" t="str">
        <f>TEXT(tblbills[[#This Row],[Date]],"mmm")</f>
        <v>Jul</v>
      </c>
      <c r="O249" s="1" t="str">
        <f>TEXT(tblbills[[#This Row],[Date]],"yyyy")</f>
        <v>2024</v>
      </c>
      <c r="Q249"/>
      <c r="R249"/>
      <c r="S249"/>
      <c r="T249"/>
      <c r="U249"/>
      <c r="V249"/>
    </row>
    <row r="250" spans="1:22" x14ac:dyDescent="0.3">
      <c r="A250" s="1" t="str">
        <f t="shared" si="3"/>
        <v>DE1249</v>
      </c>
      <c r="B250" s="1" t="s">
        <v>53</v>
      </c>
      <c r="C250" s="1" t="s">
        <v>68</v>
      </c>
      <c r="D250" s="1" t="s">
        <v>34</v>
      </c>
      <c r="E250" s="2">
        <v>45482</v>
      </c>
      <c r="F250" s="1">
        <v>9</v>
      </c>
      <c r="G250" s="5">
        <v>2033</v>
      </c>
      <c r="H250" s="5">
        <v>18297</v>
      </c>
      <c r="I250" s="1" t="s">
        <v>22</v>
      </c>
      <c r="J250" s="1" t="s">
        <v>39</v>
      </c>
      <c r="K250" s="1" t="s">
        <v>28</v>
      </c>
      <c r="L250" s="1">
        <v>0</v>
      </c>
      <c r="M250" s="1" t="s">
        <v>33</v>
      </c>
      <c r="N250" s="1" t="str">
        <f>TEXT(tblbills[[#This Row],[Date]],"mmm")</f>
        <v>Jul</v>
      </c>
      <c r="O250" s="1" t="str">
        <f>TEXT(tblbills[[#This Row],[Date]],"yyyy")</f>
        <v>2024</v>
      </c>
      <c r="Q250"/>
      <c r="R250"/>
      <c r="S250"/>
      <c r="T250"/>
      <c r="U250"/>
      <c r="V250"/>
    </row>
    <row r="251" spans="1:22" x14ac:dyDescent="0.3">
      <c r="A251" s="1" t="str">
        <f t="shared" si="3"/>
        <v>DE1250</v>
      </c>
      <c r="B251" s="1" t="s">
        <v>53</v>
      </c>
      <c r="C251" s="1" t="s">
        <v>63</v>
      </c>
      <c r="D251" s="1" t="s">
        <v>78</v>
      </c>
      <c r="E251" s="2">
        <v>45479</v>
      </c>
      <c r="F251" s="1">
        <v>5</v>
      </c>
      <c r="G251" s="5">
        <v>1801</v>
      </c>
      <c r="H251" s="5">
        <v>9005</v>
      </c>
      <c r="I251" s="1" t="s">
        <v>22</v>
      </c>
      <c r="J251" s="1" t="s">
        <v>39</v>
      </c>
      <c r="K251" s="1" t="s">
        <v>28</v>
      </c>
      <c r="L251" s="1">
        <v>0</v>
      </c>
      <c r="M251" s="1" t="s">
        <v>17</v>
      </c>
      <c r="N251" s="1" t="str">
        <f>TEXT(tblbills[[#This Row],[Date]],"mmm")</f>
        <v>Jul</v>
      </c>
      <c r="O251" s="1" t="str">
        <f>TEXT(tblbills[[#This Row],[Date]],"yyyy")</f>
        <v>2024</v>
      </c>
      <c r="Q251"/>
      <c r="R251"/>
      <c r="S251"/>
      <c r="T251"/>
      <c r="U251"/>
      <c r="V251"/>
    </row>
    <row r="252" spans="1:22" x14ac:dyDescent="0.3">
      <c r="A252" s="1" t="str">
        <f t="shared" si="3"/>
        <v>DE1251</v>
      </c>
      <c r="B252" s="1" t="s">
        <v>53</v>
      </c>
      <c r="C252" s="1" t="s">
        <v>68</v>
      </c>
      <c r="D252" s="1" t="s">
        <v>65</v>
      </c>
      <c r="E252" s="2">
        <v>45471</v>
      </c>
      <c r="F252" s="1">
        <v>4</v>
      </c>
      <c r="G252" s="5">
        <v>3974</v>
      </c>
      <c r="H252" s="5">
        <v>15896</v>
      </c>
      <c r="I252" s="1" t="s">
        <v>22</v>
      </c>
      <c r="J252" s="1" t="s">
        <v>21</v>
      </c>
      <c r="K252" s="1" t="s">
        <v>32</v>
      </c>
      <c r="L252" s="1">
        <v>0</v>
      </c>
      <c r="M252" s="1" t="s">
        <v>33</v>
      </c>
      <c r="N252" s="1" t="str">
        <f>TEXT(tblbills[[#This Row],[Date]],"mmm")</f>
        <v>Jun</v>
      </c>
      <c r="O252" s="1" t="str">
        <f>TEXT(tblbills[[#This Row],[Date]],"yyyy")</f>
        <v>2024</v>
      </c>
      <c r="Q252"/>
      <c r="R252"/>
      <c r="S252"/>
      <c r="T252"/>
      <c r="U252"/>
      <c r="V252"/>
    </row>
    <row r="253" spans="1:22" x14ac:dyDescent="0.3">
      <c r="A253" s="1" t="str">
        <f t="shared" si="3"/>
        <v>DE1252</v>
      </c>
      <c r="B253" s="1" t="s">
        <v>53</v>
      </c>
      <c r="C253" s="1" t="s">
        <v>66</v>
      </c>
      <c r="D253" s="1" t="s">
        <v>76</v>
      </c>
      <c r="E253" s="2">
        <v>45469</v>
      </c>
      <c r="F253" s="1">
        <v>2</v>
      </c>
      <c r="G253" s="5">
        <v>3896</v>
      </c>
      <c r="H253" s="5">
        <v>7792</v>
      </c>
      <c r="I253" s="1" t="s">
        <v>27</v>
      </c>
      <c r="J253" s="1" t="s">
        <v>21</v>
      </c>
      <c r="K253" s="1" t="s">
        <v>32</v>
      </c>
      <c r="L253" s="1">
        <v>2</v>
      </c>
      <c r="M253" s="1" t="s">
        <v>33</v>
      </c>
      <c r="N253" s="1" t="str">
        <f>TEXT(tblbills[[#This Row],[Date]],"mmm")</f>
        <v>Jun</v>
      </c>
      <c r="O253" s="1" t="str">
        <f>TEXT(tblbills[[#This Row],[Date]],"yyyy")</f>
        <v>2024</v>
      </c>
      <c r="Q253"/>
      <c r="R253"/>
      <c r="S253"/>
      <c r="T253"/>
      <c r="U253"/>
      <c r="V253"/>
    </row>
    <row r="254" spans="1:22" x14ac:dyDescent="0.3">
      <c r="A254" s="1" t="str">
        <f t="shared" si="3"/>
        <v>DE1253</v>
      </c>
      <c r="B254" s="1" t="s">
        <v>53</v>
      </c>
      <c r="C254" s="1" t="s">
        <v>68</v>
      </c>
      <c r="D254" s="1" t="s">
        <v>56</v>
      </c>
      <c r="E254" s="2">
        <v>45467</v>
      </c>
      <c r="F254" s="1">
        <v>4</v>
      </c>
      <c r="G254" s="5">
        <v>1265</v>
      </c>
      <c r="H254" s="5">
        <v>5060</v>
      </c>
      <c r="I254" s="1" t="s">
        <v>27</v>
      </c>
      <c r="J254" s="1" t="s">
        <v>26</v>
      </c>
      <c r="K254" s="1" t="s">
        <v>28</v>
      </c>
      <c r="L254" s="1">
        <v>0</v>
      </c>
      <c r="M254" s="1" t="s">
        <v>33</v>
      </c>
      <c r="N254" s="1" t="str">
        <f>TEXT(tblbills[[#This Row],[Date]],"mmm")</f>
        <v>Jun</v>
      </c>
      <c r="O254" s="1" t="str">
        <f>TEXT(tblbills[[#This Row],[Date]],"yyyy")</f>
        <v>2024</v>
      </c>
      <c r="Q254"/>
      <c r="R254"/>
      <c r="S254"/>
      <c r="T254"/>
      <c r="U254"/>
      <c r="V254"/>
    </row>
    <row r="255" spans="1:22" x14ac:dyDescent="0.3">
      <c r="A255" s="1" t="str">
        <f t="shared" si="3"/>
        <v>DE1254</v>
      </c>
      <c r="B255" s="1" t="s">
        <v>53</v>
      </c>
      <c r="C255" s="1" t="s">
        <v>68</v>
      </c>
      <c r="D255" s="1" t="s">
        <v>56</v>
      </c>
      <c r="E255" s="2">
        <v>45467</v>
      </c>
      <c r="F255" s="1">
        <v>16</v>
      </c>
      <c r="G255" s="5">
        <v>3844</v>
      </c>
      <c r="H255" s="5">
        <v>61504</v>
      </c>
      <c r="I255" s="1" t="s">
        <v>27</v>
      </c>
      <c r="J255" s="1" t="s">
        <v>14</v>
      </c>
      <c r="K255" s="1" t="s">
        <v>16</v>
      </c>
      <c r="L255" s="1">
        <v>5</v>
      </c>
      <c r="M255" s="1" t="s">
        <v>44</v>
      </c>
      <c r="N255" s="1" t="str">
        <f>TEXT(tblbills[[#This Row],[Date]],"mmm")</f>
        <v>Jun</v>
      </c>
      <c r="O255" s="1" t="str">
        <f>TEXT(tblbills[[#This Row],[Date]],"yyyy")</f>
        <v>2024</v>
      </c>
      <c r="Q255"/>
      <c r="R255"/>
      <c r="S255"/>
      <c r="T255"/>
      <c r="U255"/>
      <c r="V255"/>
    </row>
    <row r="256" spans="1:22" x14ac:dyDescent="0.3">
      <c r="A256" s="1" t="str">
        <f t="shared" si="3"/>
        <v>DE1255</v>
      </c>
      <c r="B256" s="1" t="s">
        <v>53</v>
      </c>
      <c r="C256" s="1" t="s">
        <v>63</v>
      </c>
      <c r="D256" s="1" t="s">
        <v>67</v>
      </c>
      <c r="E256" s="2">
        <v>45465</v>
      </c>
      <c r="F256" s="1">
        <v>2</v>
      </c>
      <c r="G256" s="5">
        <v>1754</v>
      </c>
      <c r="H256" s="5">
        <v>3508</v>
      </c>
      <c r="I256" s="1" t="s">
        <v>22</v>
      </c>
      <c r="J256" s="1" t="s">
        <v>26</v>
      </c>
      <c r="K256" s="1" t="s">
        <v>16</v>
      </c>
      <c r="L256" s="1">
        <v>2</v>
      </c>
      <c r="M256" s="1" t="s">
        <v>29</v>
      </c>
      <c r="N256" s="1" t="str">
        <f>TEXT(tblbills[[#This Row],[Date]],"mmm")</f>
        <v>Jun</v>
      </c>
      <c r="O256" s="1" t="str">
        <f>TEXT(tblbills[[#This Row],[Date]],"yyyy")</f>
        <v>2024</v>
      </c>
      <c r="Q256"/>
      <c r="R256"/>
      <c r="S256"/>
      <c r="T256"/>
      <c r="U256"/>
      <c r="V256"/>
    </row>
    <row r="257" spans="1:22" x14ac:dyDescent="0.3">
      <c r="A257" s="1" t="str">
        <f t="shared" si="3"/>
        <v>DE1256</v>
      </c>
      <c r="B257" s="1" t="s">
        <v>53</v>
      </c>
      <c r="C257" s="1" t="s">
        <v>68</v>
      </c>
      <c r="D257" s="1" t="s">
        <v>67</v>
      </c>
      <c r="E257" s="2">
        <v>45464</v>
      </c>
      <c r="F257" s="1">
        <v>8</v>
      </c>
      <c r="G257" s="5">
        <v>2117</v>
      </c>
      <c r="H257" s="5">
        <v>16936</v>
      </c>
      <c r="I257" s="1" t="s">
        <v>15</v>
      </c>
      <c r="J257" s="1" t="s">
        <v>43</v>
      </c>
      <c r="K257" s="1" t="s">
        <v>32</v>
      </c>
      <c r="L257" s="1">
        <v>5</v>
      </c>
      <c r="M257" s="1" t="s">
        <v>29</v>
      </c>
      <c r="N257" s="1" t="str">
        <f>TEXT(tblbills[[#This Row],[Date]],"mmm")</f>
        <v>Jun</v>
      </c>
      <c r="O257" s="1" t="str">
        <f>TEXT(tblbills[[#This Row],[Date]],"yyyy")</f>
        <v>2024</v>
      </c>
      <c r="Q257"/>
      <c r="R257"/>
      <c r="S257"/>
      <c r="T257"/>
      <c r="U257"/>
      <c r="V257"/>
    </row>
    <row r="258" spans="1:22" x14ac:dyDescent="0.3">
      <c r="A258" s="1" t="str">
        <f t="shared" si="3"/>
        <v>DE1257</v>
      </c>
      <c r="B258" s="1" t="s">
        <v>53</v>
      </c>
      <c r="C258" s="1" t="s">
        <v>63</v>
      </c>
      <c r="D258" s="1" t="s">
        <v>49</v>
      </c>
      <c r="E258" s="2">
        <v>45463</v>
      </c>
      <c r="F258" s="1">
        <v>4</v>
      </c>
      <c r="G258" s="5">
        <v>3253</v>
      </c>
      <c r="H258" s="5">
        <v>13012</v>
      </c>
      <c r="I258" s="1" t="s">
        <v>15</v>
      </c>
      <c r="J258" s="1" t="s">
        <v>39</v>
      </c>
      <c r="K258" s="1" t="s">
        <v>32</v>
      </c>
      <c r="L258" s="1">
        <v>0</v>
      </c>
      <c r="M258" s="1" t="s">
        <v>23</v>
      </c>
      <c r="N258" s="1" t="str">
        <f>TEXT(tblbills[[#This Row],[Date]],"mmm")</f>
        <v>Jun</v>
      </c>
      <c r="O258" s="1" t="str">
        <f>TEXT(tblbills[[#This Row],[Date]],"yyyy")</f>
        <v>2024</v>
      </c>
      <c r="Q258"/>
      <c r="R258"/>
      <c r="S258"/>
      <c r="T258"/>
      <c r="U258"/>
      <c r="V258"/>
    </row>
    <row r="259" spans="1:22" x14ac:dyDescent="0.3">
      <c r="A259" s="1" t="str">
        <f t="shared" ref="A259:A322" si="4">"DE"&amp;ROW()+999</f>
        <v>DE1258</v>
      </c>
      <c r="B259" s="1" t="s">
        <v>53</v>
      </c>
      <c r="C259" s="1" t="s">
        <v>68</v>
      </c>
      <c r="D259" s="1" t="s">
        <v>65</v>
      </c>
      <c r="E259" s="2">
        <v>45462</v>
      </c>
      <c r="F259" s="1">
        <v>13</v>
      </c>
      <c r="G259" s="5">
        <v>3300</v>
      </c>
      <c r="H259" s="5">
        <v>42900</v>
      </c>
      <c r="I259" s="1" t="s">
        <v>22</v>
      </c>
      <c r="J259" s="1" t="s">
        <v>14</v>
      </c>
      <c r="K259" s="1" t="s">
        <v>32</v>
      </c>
      <c r="L259" s="1">
        <v>7</v>
      </c>
      <c r="M259" s="1" t="s">
        <v>17</v>
      </c>
      <c r="N259" s="1" t="str">
        <f>TEXT(tblbills[[#This Row],[Date]],"mmm")</f>
        <v>Jun</v>
      </c>
      <c r="O259" s="1" t="str">
        <f>TEXT(tblbills[[#This Row],[Date]],"yyyy")</f>
        <v>2024</v>
      </c>
      <c r="Q259"/>
      <c r="R259"/>
      <c r="S259"/>
      <c r="T259"/>
      <c r="U259"/>
      <c r="V259"/>
    </row>
    <row r="260" spans="1:22" x14ac:dyDescent="0.3">
      <c r="A260" s="1" t="str">
        <f t="shared" si="4"/>
        <v>DE1259</v>
      </c>
      <c r="B260" s="1" t="s">
        <v>53</v>
      </c>
      <c r="C260" s="1" t="s">
        <v>54</v>
      </c>
      <c r="D260" s="1" t="s">
        <v>76</v>
      </c>
      <c r="E260" s="2">
        <v>45457</v>
      </c>
      <c r="F260" s="1">
        <v>8</v>
      </c>
      <c r="G260" s="5">
        <v>1049</v>
      </c>
      <c r="H260" s="5">
        <v>8392</v>
      </c>
      <c r="I260" s="1" t="s">
        <v>22</v>
      </c>
      <c r="J260" s="1" t="s">
        <v>43</v>
      </c>
      <c r="K260" s="1" t="s">
        <v>16</v>
      </c>
      <c r="L260" s="1">
        <v>0</v>
      </c>
      <c r="M260" s="1" t="s">
        <v>44</v>
      </c>
      <c r="N260" s="1" t="str">
        <f>TEXT(tblbills[[#This Row],[Date]],"mmm")</f>
        <v>Jun</v>
      </c>
      <c r="O260" s="1" t="str">
        <f>TEXT(tblbills[[#This Row],[Date]],"yyyy")</f>
        <v>2024</v>
      </c>
      <c r="Q260"/>
      <c r="R260"/>
      <c r="S260"/>
      <c r="T260"/>
      <c r="U260"/>
      <c r="V260"/>
    </row>
    <row r="261" spans="1:22" x14ac:dyDescent="0.3">
      <c r="A261" s="1" t="str">
        <f t="shared" si="4"/>
        <v>DE1260</v>
      </c>
      <c r="B261" s="1" t="s">
        <v>53</v>
      </c>
      <c r="C261" s="1" t="s">
        <v>63</v>
      </c>
      <c r="D261" s="1" t="s">
        <v>65</v>
      </c>
      <c r="E261" s="2">
        <v>45450</v>
      </c>
      <c r="F261" s="1">
        <v>16</v>
      </c>
      <c r="G261" s="5">
        <v>960</v>
      </c>
      <c r="H261" s="5">
        <v>15360</v>
      </c>
      <c r="I261" s="1" t="s">
        <v>27</v>
      </c>
      <c r="J261" s="1" t="s">
        <v>26</v>
      </c>
      <c r="K261" s="1" t="s">
        <v>32</v>
      </c>
      <c r="L261" s="1">
        <v>0</v>
      </c>
      <c r="M261" s="1" t="s">
        <v>29</v>
      </c>
      <c r="N261" s="1" t="str">
        <f>TEXT(tblbills[[#This Row],[Date]],"mmm")</f>
        <v>Jun</v>
      </c>
      <c r="O261" s="1" t="str">
        <f>TEXT(tblbills[[#This Row],[Date]],"yyyy")</f>
        <v>2024</v>
      </c>
      <c r="Q261"/>
      <c r="R261"/>
      <c r="S261"/>
      <c r="T261"/>
      <c r="U261"/>
      <c r="V261"/>
    </row>
    <row r="262" spans="1:22" x14ac:dyDescent="0.3">
      <c r="A262" s="1" t="str">
        <f t="shared" si="4"/>
        <v>DE1261</v>
      </c>
      <c r="B262" s="1" t="s">
        <v>53</v>
      </c>
      <c r="C262" s="1" t="s">
        <v>54</v>
      </c>
      <c r="D262" s="1" t="s">
        <v>36</v>
      </c>
      <c r="E262" s="2">
        <v>45448</v>
      </c>
      <c r="F262" s="1">
        <v>3</v>
      </c>
      <c r="G262" s="5">
        <v>3861</v>
      </c>
      <c r="H262" s="5">
        <v>11583</v>
      </c>
      <c r="I262" s="1" t="s">
        <v>27</v>
      </c>
      <c r="J262" s="1" t="s">
        <v>39</v>
      </c>
      <c r="K262" s="1" t="s">
        <v>32</v>
      </c>
      <c r="L262" s="1">
        <v>7</v>
      </c>
      <c r="M262" s="1" t="s">
        <v>33</v>
      </c>
      <c r="N262" s="1" t="str">
        <f>TEXT(tblbills[[#This Row],[Date]],"mmm")</f>
        <v>Jun</v>
      </c>
      <c r="O262" s="1" t="str">
        <f>TEXT(tblbills[[#This Row],[Date]],"yyyy")</f>
        <v>2024</v>
      </c>
      <c r="Q262"/>
      <c r="R262"/>
      <c r="S262"/>
      <c r="T262"/>
      <c r="U262"/>
      <c r="V262"/>
    </row>
    <row r="263" spans="1:22" x14ac:dyDescent="0.3">
      <c r="A263" s="1" t="str">
        <f t="shared" si="4"/>
        <v>DE1262</v>
      </c>
      <c r="B263" s="1" t="s">
        <v>37</v>
      </c>
      <c r="C263" s="1" t="s">
        <v>38</v>
      </c>
      <c r="D263" s="1" t="s">
        <v>78</v>
      </c>
      <c r="E263" s="2">
        <v>45743</v>
      </c>
      <c r="F263" s="1">
        <v>5</v>
      </c>
      <c r="G263" s="5">
        <v>2372</v>
      </c>
      <c r="H263" s="5">
        <v>11860</v>
      </c>
      <c r="I263" s="1" t="s">
        <v>27</v>
      </c>
      <c r="J263" s="1" t="s">
        <v>14</v>
      </c>
      <c r="K263" s="1" t="s">
        <v>16</v>
      </c>
      <c r="L263" s="1">
        <v>5</v>
      </c>
      <c r="M263" s="1" t="s">
        <v>33</v>
      </c>
      <c r="N263" s="1" t="str">
        <f>TEXT(tblbills[[#This Row],[Date]],"mmm")</f>
        <v>Mar</v>
      </c>
      <c r="O263" s="1" t="str">
        <f>TEXT(tblbills[[#This Row],[Date]],"yyyy")</f>
        <v>2025</v>
      </c>
      <c r="Q263"/>
      <c r="R263"/>
      <c r="S263"/>
      <c r="T263"/>
      <c r="U263"/>
      <c r="V263"/>
    </row>
    <row r="264" spans="1:22" x14ac:dyDescent="0.3">
      <c r="A264" s="1" t="str">
        <f t="shared" si="4"/>
        <v>DE1263</v>
      </c>
      <c r="B264" s="1" t="s">
        <v>37</v>
      </c>
      <c r="C264" s="1" t="s">
        <v>73</v>
      </c>
      <c r="D264" s="1" t="s">
        <v>76</v>
      </c>
      <c r="E264" s="2">
        <v>45742</v>
      </c>
      <c r="F264" s="1">
        <v>20</v>
      </c>
      <c r="G264" s="5">
        <v>1289</v>
      </c>
      <c r="H264" s="5">
        <v>25780</v>
      </c>
      <c r="I264" s="1" t="s">
        <v>22</v>
      </c>
      <c r="J264" s="1" t="s">
        <v>21</v>
      </c>
      <c r="K264" s="1" t="s">
        <v>32</v>
      </c>
      <c r="L264" s="1">
        <v>0</v>
      </c>
      <c r="M264" s="1" t="s">
        <v>33</v>
      </c>
      <c r="N264" s="1" t="str">
        <f>TEXT(tblbills[[#This Row],[Date]],"mmm")</f>
        <v>Mar</v>
      </c>
      <c r="O264" s="1" t="str">
        <f>TEXT(tblbills[[#This Row],[Date]],"yyyy")</f>
        <v>2025</v>
      </c>
      <c r="Q264"/>
      <c r="R264"/>
      <c r="S264"/>
      <c r="T264"/>
      <c r="U264"/>
      <c r="V264"/>
    </row>
    <row r="265" spans="1:22" x14ac:dyDescent="0.3">
      <c r="A265" s="1" t="str">
        <f t="shared" si="4"/>
        <v>DE1264</v>
      </c>
      <c r="B265" s="1" t="s">
        <v>37</v>
      </c>
      <c r="C265" s="1" t="s">
        <v>61</v>
      </c>
      <c r="D265" s="1" t="s">
        <v>78</v>
      </c>
      <c r="E265" s="2">
        <v>45740</v>
      </c>
      <c r="F265" s="1">
        <v>7</v>
      </c>
      <c r="G265" s="5">
        <v>599</v>
      </c>
      <c r="H265" s="5">
        <v>4193</v>
      </c>
      <c r="I265" s="1" t="s">
        <v>22</v>
      </c>
      <c r="J265" s="1" t="s">
        <v>47</v>
      </c>
      <c r="K265" s="1" t="s">
        <v>28</v>
      </c>
      <c r="L265" s="1">
        <v>0</v>
      </c>
      <c r="M265" s="1" t="s">
        <v>17</v>
      </c>
      <c r="N265" s="1" t="str">
        <f>TEXT(tblbills[[#This Row],[Date]],"mmm")</f>
        <v>Mar</v>
      </c>
      <c r="O265" s="1" t="str">
        <f>TEXT(tblbills[[#This Row],[Date]],"yyyy")</f>
        <v>2025</v>
      </c>
      <c r="Q265"/>
      <c r="R265"/>
      <c r="S265"/>
      <c r="T265"/>
      <c r="U265"/>
      <c r="V265"/>
    </row>
    <row r="266" spans="1:22" x14ac:dyDescent="0.3">
      <c r="A266" s="1" t="str">
        <f t="shared" si="4"/>
        <v>DE1265</v>
      </c>
      <c r="B266" s="1" t="s">
        <v>37</v>
      </c>
      <c r="C266" s="1" t="s">
        <v>38</v>
      </c>
      <c r="D266" s="1" t="s">
        <v>40</v>
      </c>
      <c r="E266" s="2">
        <v>45737</v>
      </c>
      <c r="F266" s="1">
        <v>15</v>
      </c>
      <c r="G266" s="5">
        <v>3758</v>
      </c>
      <c r="H266" s="5">
        <v>56370</v>
      </c>
      <c r="I266" s="1" t="s">
        <v>27</v>
      </c>
      <c r="J266" s="1" t="s">
        <v>47</v>
      </c>
      <c r="K266" s="1" t="s">
        <v>32</v>
      </c>
      <c r="L266" s="1">
        <v>0</v>
      </c>
      <c r="M266" s="1" t="s">
        <v>29</v>
      </c>
      <c r="N266" s="1" t="str">
        <f>TEXT(tblbills[[#This Row],[Date]],"mmm")</f>
        <v>Mar</v>
      </c>
      <c r="O266" s="1" t="str">
        <f>TEXT(tblbills[[#This Row],[Date]],"yyyy")</f>
        <v>2025</v>
      </c>
      <c r="Q266"/>
      <c r="R266"/>
      <c r="S266"/>
      <c r="T266"/>
      <c r="U266"/>
      <c r="V266"/>
    </row>
    <row r="267" spans="1:22" x14ac:dyDescent="0.3">
      <c r="A267" s="1" t="str">
        <f t="shared" si="4"/>
        <v>DE1266</v>
      </c>
      <c r="B267" s="1" t="s">
        <v>37</v>
      </c>
      <c r="C267" s="1" t="s">
        <v>38</v>
      </c>
      <c r="D267" s="1" t="s">
        <v>78</v>
      </c>
      <c r="E267" s="2">
        <v>45736</v>
      </c>
      <c r="F267" s="1">
        <v>2</v>
      </c>
      <c r="G267" s="5">
        <v>3338</v>
      </c>
      <c r="H267" s="5">
        <v>6676</v>
      </c>
      <c r="I267" s="1" t="s">
        <v>27</v>
      </c>
      <c r="J267" s="1" t="s">
        <v>59</v>
      </c>
      <c r="K267" s="1" t="s">
        <v>28</v>
      </c>
      <c r="L267" s="1">
        <v>0</v>
      </c>
      <c r="M267" s="1" t="s">
        <v>33</v>
      </c>
      <c r="N267" s="1" t="str">
        <f>TEXT(tblbills[[#This Row],[Date]],"mmm")</f>
        <v>Mar</v>
      </c>
      <c r="O267" s="1" t="str">
        <f>TEXT(tblbills[[#This Row],[Date]],"yyyy")</f>
        <v>2025</v>
      </c>
      <c r="Q267"/>
      <c r="R267"/>
      <c r="S267"/>
      <c r="T267"/>
      <c r="U267"/>
      <c r="V267"/>
    </row>
    <row r="268" spans="1:22" x14ac:dyDescent="0.3">
      <c r="A268" s="1" t="str">
        <f t="shared" si="4"/>
        <v>DE1267</v>
      </c>
      <c r="B268" s="1" t="s">
        <v>37</v>
      </c>
      <c r="C268" s="1" t="s">
        <v>38</v>
      </c>
      <c r="D268" s="1" t="s">
        <v>56</v>
      </c>
      <c r="E268" s="2">
        <v>45734</v>
      </c>
      <c r="F268" s="1">
        <v>19</v>
      </c>
      <c r="G268" s="5">
        <v>3327</v>
      </c>
      <c r="H268" s="5">
        <v>63213</v>
      </c>
      <c r="I268" s="1" t="s">
        <v>22</v>
      </c>
      <c r="J268" s="1" t="s">
        <v>39</v>
      </c>
      <c r="K268" s="1" t="s">
        <v>16</v>
      </c>
      <c r="L268" s="1">
        <v>0</v>
      </c>
      <c r="M268" s="1" t="s">
        <v>33</v>
      </c>
      <c r="N268" s="1" t="str">
        <f>TEXT(tblbills[[#This Row],[Date]],"mmm")</f>
        <v>Mar</v>
      </c>
      <c r="O268" s="1" t="str">
        <f>TEXT(tblbills[[#This Row],[Date]],"yyyy")</f>
        <v>2025</v>
      </c>
      <c r="Q268"/>
      <c r="R268"/>
      <c r="S268"/>
      <c r="T268"/>
      <c r="U268"/>
      <c r="V268"/>
    </row>
    <row r="269" spans="1:22" x14ac:dyDescent="0.3">
      <c r="A269" s="1" t="str">
        <f t="shared" si="4"/>
        <v>DE1268</v>
      </c>
      <c r="B269" s="1" t="s">
        <v>37</v>
      </c>
      <c r="C269" s="1" t="s">
        <v>61</v>
      </c>
      <c r="D269" s="1" t="s">
        <v>30</v>
      </c>
      <c r="E269" s="2">
        <v>45727</v>
      </c>
      <c r="F269" s="1">
        <v>3</v>
      </c>
      <c r="G269" s="5">
        <v>2152</v>
      </c>
      <c r="H269" s="5">
        <v>6456</v>
      </c>
      <c r="I269" s="1" t="s">
        <v>22</v>
      </c>
      <c r="J269" s="1" t="s">
        <v>21</v>
      </c>
      <c r="K269" s="1" t="s">
        <v>32</v>
      </c>
      <c r="L269" s="1">
        <v>10</v>
      </c>
      <c r="M269" s="1" t="s">
        <v>44</v>
      </c>
      <c r="N269" s="1" t="str">
        <f>TEXT(tblbills[[#This Row],[Date]],"mmm")</f>
        <v>Mar</v>
      </c>
      <c r="O269" s="1" t="str">
        <f>TEXT(tblbills[[#This Row],[Date]],"yyyy")</f>
        <v>2025</v>
      </c>
      <c r="Q269"/>
      <c r="R269"/>
      <c r="S269"/>
      <c r="T269"/>
      <c r="U269"/>
      <c r="V269"/>
    </row>
    <row r="270" spans="1:22" x14ac:dyDescent="0.3">
      <c r="A270" s="1" t="str">
        <f t="shared" si="4"/>
        <v>DE1269</v>
      </c>
      <c r="B270" s="1" t="s">
        <v>37</v>
      </c>
      <c r="C270" s="1" t="s">
        <v>73</v>
      </c>
      <c r="D270" s="1" t="s">
        <v>36</v>
      </c>
      <c r="E270" s="2">
        <v>45723</v>
      </c>
      <c r="F270" s="1">
        <v>18</v>
      </c>
      <c r="G270" s="5">
        <v>2924</v>
      </c>
      <c r="H270" s="5">
        <v>52632</v>
      </c>
      <c r="I270" s="1" t="s">
        <v>22</v>
      </c>
      <c r="J270" s="1" t="s">
        <v>14</v>
      </c>
      <c r="K270" s="1" t="s">
        <v>16</v>
      </c>
      <c r="L270" s="1">
        <v>10</v>
      </c>
      <c r="M270" s="1" t="s">
        <v>17</v>
      </c>
      <c r="N270" s="1" t="str">
        <f>TEXT(tblbills[[#This Row],[Date]],"mmm")</f>
        <v>Mar</v>
      </c>
      <c r="O270" s="1" t="str">
        <f>TEXT(tblbills[[#This Row],[Date]],"yyyy")</f>
        <v>2025</v>
      </c>
      <c r="Q270"/>
      <c r="R270"/>
      <c r="S270"/>
      <c r="T270"/>
      <c r="U270"/>
      <c r="V270"/>
    </row>
    <row r="271" spans="1:22" x14ac:dyDescent="0.3">
      <c r="A271" s="1" t="str">
        <f t="shared" si="4"/>
        <v>DE1270</v>
      </c>
      <c r="B271" s="1" t="s">
        <v>37</v>
      </c>
      <c r="C271" s="1" t="s">
        <v>73</v>
      </c>
      <c r="D271" s="1" t="s">
        <v>77</v>
      </c>
      <c r="E271" s="2">
        <v>45714</v>
      </c>
      <c r="F271" s="1">
        <v>20</v>
      </c>
      <c r="G271" s="5">
        <v>701</v>
      </c>
      <c r="H271" s="5">
        <v>14020</v>
      </c>
      <c r="I271" s="1" t="s">
        <v>27</v>
      </c>
      <c r="J271" s="1" t="s">
        <v>26</v>
      </c>
      <c r="K271" s="1" t="s">
        <v>32</v>
      </c>
      <c r="L271" s="1">
        <v>10</v>
      </c>
      <c r="M271" s="1" t="s">
        <v>44</v>
      </c>
      <c r="N271" s="1" t="str">
        <f>TEXT(tblbills[[#This Row],[Date]],"mmm")</f>
        <v>Feb</v>
      </c>
      <c r="O271" s="1" t="str">
        <f>TEXT(tblbills[[#This Row],[Date]],"yyyy")</f>
        <v>2025</v>
      </c>
      <c r="Q271"/>
      <c r="R271"/>
      <c r="S271"/>
      <c r="T271"/>
      <c r="U271"/>
      <c r="V271"/>
    </row>
    <row r="272" spans="1:22" x14ac:dyDescent="0.3">
      <c r="A272" s="1" t="str">
        <f t="shared" si="4"/>
        <v>DE1271</v>
      </c>
      <c r="B272" s="1" t="s">
        <v>37</v>
      </c>
      <c r="C272" s="1" t="s">
        <v>61</v>
      </c>
      <c r="D272" s="1" t="s">
        <v>76</v>
      </c>
      <c r="E272" s="2">
        <v>45711</v>
      </c>
      <c r="F272" s="1">
        <v>1</v>
      </c>
      <c r="G272" s="5">
        <v>120</v>
      </c>
      <c r="H272" s="5">
        <v>120</v>
      </c>
      <c r="I272" s="1" t="s">
        <v>27</v>
      </c>
      <c r="J272" s="1" t="s">
        <v>26</v>
      </c>
      <c r="K272" s="1" t="s">
        <v>16</v>
      </c>
      <c r="L272" s="1">
        <v>0</v>
      </c>
      <c r="M272" s="1" t="s">
        <v>33</v>
      </c>
      <c r="N272" s="1" t="str">
        <f>TEXT(tblbills[[#This Row],[Date]],"mmm")</f>
        <v>Feb</v>
      </c>
      <c r="O272" s="1" t="str">
        <f>TEXT(tblbills[[#This Row],[Date]],"yyyy")</f>
        <v>2025</v>
      </c>
      <c r="Q272"/>
      <c r="R272"/>
      <c r="S272"/>
      <c r="T272"/>
      <c r="U272"/>
      <c r="V272"/>
    </row>
    <row r="273" spans="1:22" x14ac:dyDescent="0.3">
      <c r="A273" s="1" t="str">
        <f t="shared" si="4"/>
        <v>DE1272</v>
      </c>
      <c r="B273" s="1" t="s">
        <v>37</v>
      </c>
      <c r="C273" s="1" t="s">
        <v>73</v>
      </c>
      <c r="D273" s="1" t="s">
        <v>30</v>
      </c>
      <c r="E273" s="2">
        <v>45711</v>
      </c>
      <c r="F273" s="1">
        <v>15</v>
      </c>
      <c r="G273" s="5">
        <v>4413</v>
      </c>
      <c r="H273" s="5">
        <v>66195</v>
      </c>
      <c r="I273" s="1" t="s">
        <v>27</v>
      </c>
      <c r="J273" s="1" t="s">
        <v>39</v>
      </c>
      <c r="K273" s="1" t="s">
        <v>32</v>
      </c>
      <c r="L273" s="1">
        <v>2</v>
      </c>
      <c r="M273" s="1" t="s">
        <v>44</v>
      </c>
      <c r="N273" s="1" t="str">
        <f>TEXT(tblbills[[#This Row],[Date]],"mmm")</f>
        <v>Feb</v>
      </c>
      <c r="O273" s="1" t="str">
        <f>TEXT(tblbills[[#This Row],[Date]],"yyyy")</f>
        <v>2025</v>
      </c>
      <c r="Q273"/>
      <c r="R273"/>
      <c r="S273"/>
      <c r="T273"/>
      <c r="U273"/>
      <c r="V273"/>
    </row>
    <row r="274" spans="1:22" x14ac:dyDescent="0.3">
      <c r="A274" s="1" t="str">
        <f t="shared" si="4"/>
        <v>DE1273</v>
      </c>
      <c r="B274" s="1" t="s">
        <v>37</v>
      </c>
      <c r="C274" s="1" t="s">
        <v>70</v>
      </c>
      <c r="D274" s="1" t="s">
        <v>77</v>
      </c>
      <c r="E274" s="2">
        <v>45706</v>
      </c>
      <c r="F274" s="1">
        <v>9</v>
      </c>
      <c r="G274" s="5">
        <v>3474</v>
      </c>
      <c r="H274" s="5">
        <v>31266</v>
      </c>
      <c r="I274" s="1" t="s">
        <v>22</v>
      </c>
      <c r="J274" s="1" t="s">
        <v>59</v>
      </c>
      <c r="K274" s="1" t="s">
        <v>32</v>
      </c>
      <c r="L274" s="1">
        <v>0</v>
      </c>
      <c r="M274" s="1" t="s">
        <v>17</v>
      </c>
      <c r="N274" s="1" t="str">
        <f>TEXT(tblbills[[#This Row],[Date]],"mmm")</f>
        <v>Feb</v>
      </c>
      <c r="O274" s="1" t="str">
        <f>TEXT(tblbills[[#This Row],[Date]],"yyyy")</f>
        <v>2025</v>
      </c>
      <c r="Q274"/>
      <c r="R274"/>
      <c r="S274"/>
      <c r="T274"/>
      <c r="U274"/>
      <c r="V274"/>
    </row>
    <row r="275" spans="1:22" x14ac:dyDescent="0.3">
      <c r="A275" s="1" t="str">
        <f t="shared" si="4"/>
        <v>DE1274</v>
      </c>
      <c r="B275" s="1" t="s">
        <v>37</v>
      </c>
      <c r="C275" s="1" t="s">
        <v>58</v>
      </c>
      <c r="D275" s="1" t="s">
        <v>40</v>
      </c>
      <c r="E275" s="2">
        <v>45705</v>
      </c>
      <c r="F275" s="1">
        <v>16</v>
      </c>
      <c r="G275" s="5">
        <v>864</v>
      </c>
      <c r="H275" s="5">
        <v>13824</v>
      </c>
      <c r="I275" s="1" t="s">
        <v>15</v>
      </c>
      <c r="J275" s="1" t="s">
        <v>59</v>
      </c>
      <c r="K275" s="1" t="s">
        <v>28</v>
      </c>
      <c r="L275" s="1">
        <v>5</v>
      </c>
      <c r="M275" s="1" t="s">
        <v>33</v>
      </c>
      <c r="N275" s="1" t="str">
        <f>TEXT(tblbills[[#This Row],[Date]],"mmm")</f>
        <v>Feb</v>
      </c>
      <c r="O275" s="1" t="str">
        <f>TEXT(tblbills[[#This Row],[Date]],"yyyy")</f>
        <v>2025</v>
      </c>
      <c r="Q275"/>
      <c r="R275"/>
      <c r="S275"/>
      <c r="T275"/>
      <c r="U275"/>
      <c r="V275"/>
    </row>
    <row r="276" spans="1:22" x14ac:dyDescent="0.3">
      <c r="A276" s="1" t="str">
        <f t="shared" si="4"/>
        <v>DE1275</v>
      </c>
      <c r="B276" s="1" t="s">
        <v>37</v>
      </c>
      <c r="C276" s="1" t="s">
        <v>58</v>
      </c>
      <c r="D276" s="1" t="s">
        <v>36</v>
      </c>
      <c r="E276" s="2">
        <v>45704</v>
      </c>
      <c r="F276" s="1">
        <v>3</v>
      </c>
      <c r="G276" s="5">
        <v>3588</v>
      </c>
      <c r="H276" s="5">
        <v>10764</v>
      </c>
      <c r="I276" s="1" t="s">
        <v>27</v>
      </c>
      <c r="J276" s="1" t="s">
        <v>47</v>
      </c>
      <c r="K276" s="1" t="s">
        <v>28</v>
      </c>
      <c r="L276" s="1">
        <v>0</v>
      </c>
      <c r="M276" s="1" t="s">
        <v>33</v>
      </c>
      <c r="N276" s="1" t="str">
        <f>TEXT(tblbills[[#This Row],[Date]],"mmm")</f>
        <v>Feb</v>
      </c>
      <c r="O276" s="1" t="str">
        <f>TEXT(tblbills[[#This Row],[Date]],"yyyy")</f>
        <v>2025</v>
      </c>
      <c r="Q276"/>
      <c r="R276"/>
      <c r="S276"/>
      <c r="T276"/>
      <c r="U276"/>
      <c r="V276"/>
    </row>
    <row r="277" spans="1:22" x14ac:dyDescent="0.3">
      <c r="A277" s="1" t="str">
        <f t="shared" si="4"/>
        <v>DE1276</v>
      </c>
      <c r="B277" s="1" t="s">
        <v>37</v>
      </c>
      <c r="C277" s="1" t="s">
        <v>70</v>
      </c>
      <c r="D277" s="1" t="s">
        <v>76</v>
      </c>
      <c r="E277" s="2">
        <v>45702</v>
      </c>
      <c r="F277" s="1">
        <v>17</v>
      </c>
      <c r="G277" s="5">
        <v>678</v>
      </c>
      <c r="H277" s="5">
        <v>11526</v>
      </c>
      <c r="I277" s="1" t="s">
        <v>22</v>
      </c>
      <c r="J277" s="1" t="s">
        <v>43</v>
      </c>
      <c r="K277" s="1" t="s">
        <v>32</v>
      </c>
      <c r="L277" s="1">
        <v>0</v>
      </c>
      <c r="M277" s="1" t="s">
        <v>23</v>
      </c>
      <c r="N277" s="1" t="str">
        <f>TEXT(tblbills[[#This Row],[Date]],"mmm")</f>
        <v>Feb</v>
      </c>
      <c r="O277" s="1" t="str">
        <f>TEXT(tblbills[[#This Row],[Date]],"yyyy")</f>
        <v>2025</v>
      </c>
      <c r="Q277"/>
      <c r="R277"/>
      <c r="S277"/>
      <c r="T277"/>
      <c r="U277"/>
      <c r="V277"/>
    </row>
    <row r="278" spans="1:22" x14ac:dyDescent="0.3">
      <c r="A278" s="1" t="str">
        <f t="shared" si="4"/>
        <v>DE1277</v>
      </c>
      <c r="B278" s="1" t="s">
        <v>37</v>
      </c>
      <c r="C278" s="1" t="s">
        <v>73</v>
      </c>
      <c r="D278" s="1" t="s">
        <v>65</v>
      </c>
      <c r="E278" s="2">
        <v>45701</v>
      </c>
      <c r="F278" s="1">
        <v>2</v>
      </c>
      <c r="G278" s="5">
        <v>1154</v>
      </c>
      <c r="H278" s="5">
        <v>2308</v>
      </c>
      <c r="I278" s="1" t="s">
        <v>15</v>
      </c>
      <c r="J278" s="1" t="s">
        <v>26</v>
      </c>
      <c r="K278" s="1" t="s">
        <v>28</v>
      </c>
      <c r="L278" s="1">
        <v>5</v>
      </c>
      <c r="M278" s="1" t="s">
        <v>29</v>
      </c>
      <c r="N278" s="1" t="str">
        <f>TEXT(tblbills[[#This Row],[Date]],"mmm")</f>
        <v>Feb</v>
      </c>
      <c r="O278" s="1" t="str">
        <f>TEXT(tblbills[[#This Row],[Date]],"yyyy")</f>
        <v>2025</v>
      </c>
      <c r="Q278"/>
      <c r="R278"/>
      <c r="S278"/>
      <c r="T278"/>
      <c r="U278"/>
      <c r="V278"/>
    </row>
    <row r="279" spans="1:22" x14ac:dyDescent="0.3">
      <c r="A279" s="1" t="str">
        <f t="shared" si="4"/>
        <v>DE1278</v>
      </c>
      <c r="B279" s="1" t="s">
        <v>37</v>
      </c>
      <c r="C279" s="1" t="s">
        <v>61</v>
      </c>
      <c r="D279" s="1" t="s">
        <v>11</v>
      </c>
      <c r="E279" s="2">
        <v>45696</v>
      </c>
      <c r="F279" s="1">
        <v>10</v>
      </c>
      <c r="G279" s="5">
        <v>2318</v>
      </c>
      <c r="H279" s="5">
        <v>23180</v>
      </c>
      <c r="I279" s="1" t="s">
        <v>15</v>
      </c>
      <c r="J279" s="1" t="s">
        <v>47</v>
      </c>
      <c r="K279" s="1" t="s">
        <v>32</v>
      </c>
      <c r="L279" s="1">
        <v>2</v>
      </c>
      <c r="M279" s="1" t="s">
        <v>33</v>
      </c>
      <c r="N279" s="1" t="str">
        <f>TEXT(tblbills[[#This Row],[Date]],"mmm")</f>
        <v>Feb</v>
      </c>
      <c r="O279" s="1" t="str">
        <f>TEXT(tblbills[[#This Row],[Date]],"yyyy")</f>
        <v>2025</v>
      </c>
      <c r="Q279"/>
      <c r="R279"/>
      <c r="S279"/>
      <c r="T279"/>
      <c r="U279"/>
      <c r="V279"/>
    </row>
    <row r="280" spans="1:22" x14ac:dyDescent="0.3">
      <c r="A280" s="1" t="str">
        <f t="shared" si="4"/>
        <v>DE1279</v>
      </c>
      <c r="B280" s="1" t="s">
        <v>37</v>
      </c>
      <c r="C280" s="1" t="s">
        <v>38</v>
      </c>
      <c r="D280" s="1" t="s">
        <v>78</v>
      </c>
      <c r="E280" s="2">
        <v>45694</v>
      </c>
      <c r="F280" s="1">
        <v>8</v>
      </c>
      <c r="G280" s="5">
        <v>3449</v>
      </c>
      <c r="H280" s="5">
        <v>27592</v>
      </c>
      <c r="I280" s="1" t="s">
        <v>15</v>
      </c>
      <c r="J280" s="1" t="s">
        <v>59</v>
      </c>
      <c r="K280" s="1" t="s">
        <v>32</v>
      </c>
      <c r="L280" s="1">
        <v>7</v>
      </c>
      <c r="M280" s="1" t="s">
        <v>33</v>
      </c>
      <c r="N280" s="1" t="str">
        <f>TEXT(tblbills[[#This Row],[Date]],"mmm")</f>
        <v>Feb</v>
      </c>
      <c r="O280" s="1" t="str">
        <f>TEXT(tblbills[[#This Row],[Date]],"yyyy")</f>
        <v>2025</v>
      </c>
      <c r="Q280"/>
      <c r="R280"/>
      <c r="S280"/>
      <c r="T280"/>
      <c r="U280"/>
      <c r="V280"/>
    </row>
    <row r="281" spans="1:22" x14ac:dyDescent="0.3">
      <c r="A281" s="1" t="str">
        <f t="shared" si="4"/>
        <v>DE1280</v>
      </c>
      <c r="B281" s="1" t="s">
        <v>37</v>
      </c>
      <c r="C281" s="1" t="s">
        <v>58</v>
      </c>
      <c r="D281" s="1" t="s">
        <v>34</v>
      </c>
      <c r="E281" s="2">
        <v>45689</v>
      </c>
      <c r="F281" s="1">
        <v>18</v>
      </c>
      <c r="G281" s="5">
        <v>1897</v>
      </c>
      <c r="H281" s="5">
        <v>34146</v>
      </c>
      <c r="I281" s="1" t="s">
        <v>27</v>
      </c>
      <c r="J281" s="1" t="s">
        <v>59</v>
      </c>
      <c r="K281" s="1" t="s">
        <v>28</v>
      </c>
      <c r="L281" s="1">
        <v>0</v>
      </c>
      <c r="M281" s="1" t="s">
        <v>29</v>
      </c>
      <c r="N281" s="1" t="str">
        <f>TEXT(tblbills[[#This Row],[Date]],"mmm")</f>
        <v>Feb</v>
      </c>
      <c r="O281" s="1" t="str">
        <f>TEXT(tblbills[[#This Row],[Date]],"yyyy")</f>
        <v>2025</v>
      </c>
      <c r="Q281"/>
      <c r="R281"/>
      <c r="S281"/>
      <c r="T281"/>
      <c r="U281"/>
      <c r="V281"/>
    </row>
    <row r="282" spans="1:22" x14ac:dyDescent="0.3">
      <c r="A282" s="1" t="str">
        <f t="shared" si="4"/>
        <v>DE1281</v>
      </c>
      <c r="B282" s="1" t="s">
        <v>37</v>
      </c>
      <c r="C282" s="1" t="s">
        <v>73</v>
      </c>
      <c r="D282" s="1" t="s">
        <v>45</v>
      </c>
      <c r="E282" s="2">
        <v>45684</v>
      </c>
      <c r="F282" s="1">
        <v>5</v>
      </c>
      <c r="G282" s="5">
        <v>732</v>
      </c>
      <c r="H282" s="5">
        <v>3660</v>
      </c>
      <c r="I282" s="1" t="s">
        <v>22</v>
      </c>
      <c r="J282" s="1" t="s">
        <v>26</v>
      </c>
      <c r="K282" s="1" t="s">
        <v>32</v>
      </c>
      <c r="L282" s="1">
        <v>7</v>
      </c>
      <c r="M282" s="1" t="s">
        <v>44</v>
      </c>
      <c r="N282" s="1" t="str">
        <f>TEXT(tblbills[[#This Row],[Date]],"mmm")</f>
        <v>Jan</v>
      </c>
      <c r="O282" s="1" t="str">
        <f>TEXT(tblbills[[#This Row],[Date]],"yyyy")</f>
        <v>2025</v>
      </c>
      <c r="Q282"/>
      <c r="R282"/>
      <c r="S282"/>
      <c r="T282"/>
      <c r="U282"/>
      <c r="V282"/>
    </row>
    <row r="283" spans="1:22" x14ac:dyDescent="0.3">
      <c r="A283" s="1" t="str">
        <f t="shared" si="4"/>
        <v>DE1282</v>
      </c>
      <c r="B283" s="1" t="s">
        <v>37</v>
      </c>
      <c r="C283" s="1" t="s">
        <v>61</v>
      </c>
      <c r="D283" s="1" t="s">
        <v>34</v>
      </c>
      <c r="E283" s="2">
        <v>45677</v>
      </c>
      <c r="F283" s="1">
        <v>10</v>
      </c>
      <c r="G283" s="5">
        <v>2930</v>
      </c>
      <c r="H283" s="5">
        <v>29300</v>
      </c>
      <c r="I283" s="1" t="s">
        <v>27</v>
      </c>
      <c r="J283" s="1" t="s">
        <v>21</v>
      </c>
      <c r="K283" s="1" t="s">
        <v>32</v>
      </c>
      <c r="L283" s="1">
        <v>0</v>
      </c>
      <c r="M283" s="1" t="s">
        <v>33</v>
      </c>
      <c r="N283" s="1" t="str">
        <f>TEXT(tblbills[[#This Row],[Date]],"mmm")</f>
        <v>Jan</v>
      </c>
      <c r="O283" s="1" t="str">
        <f>TEXT(tblbills[[#This Row],[Date]],"yyyy")</f>
        <v>2025</v>
      </c>
      <c r="Q283"/>
      <c r="R283"/>
      <c r="S283"/>
      <c r="T283"/>
      <c r="U283"/>
      <c r="V283"/>
    </row>
    <row r="284" spans="1:22" x14ac:dyDescent="0.3">
      <c r="A284" s="1" t="str">
        <f t="shared" si="4"/>
        <v>DE1283</v>
      </c>
      <c r="B284" s="1" t="s">
        <v>37</v>
      </c>
      <c r="C284" s="1" t="s">
        <v>38</v>
      </c>
      <c r="D284" s="1" t="s">
        <v>36</v>
      </c>
      <c r="E284" s="2">
        <v>45676</v>
      </c>
      <c r="F284" s="1">
        <v>13</v>
      </c>
      <c r="G284" s="5">
        <v>2397</v>
      </c>
      <c r="H284" s="5">
        <v>31161</v>
      </c>
      <c r="I284" s="1" t="s">
        <v>27</v>
      </c>
      <c r="J284" s="1" t="s">
        <v>39</v>
      </c>
      <c r="K284" s="1" t="s">
        <v>28</v>
      </c>
      <c r="L284" s="1">
        <v>7</v>
      </c>
      <c r="M284" s="1" t="s">
        <v>29</v>
      </c>
      <c r="N284" s="1" t="str">
        <f>TEXT(tblbills[[#This Row],[Date]],"mmm")</f>
        <v>Jan</v>
      </c>
      <c r="O284" s="1" t="str">
        <f>TEXT(tblbills[[#This Row],[Date]],"yyyy")</f>
        <v>2025</v>
      </c>
      <c r="Q284"/>
      <c r="R284"/>
      <c r="S284"/>
      <c r="T284"/>
      <c r="U284"/>
      <c r="V284"/>
    </row>
    <row r="285" spans="1:22" x14ac:dyDescent="0.3">
      <c r="A285" s="1" t="str">
        <f t="shared" si="4"/>
        <v>DE1284</v>
      </c>
      <c r="B285" s="1" t="s">
        <v>37</v>
      </c>
      <c r="C285" s="1" t="s">
        <v>61</v>
      </c>
      <c r="D285" s="1" t="s">
        <v>18</v>
      </c>
      <c r="E285" s="2">
        <v>45674</v>
      </c>
      <c r="F285" s="1">
        <v>16</v>
      </c>
      <c r="G285" s="5">
        <v>908</v>
      </c>
      <c r="H285" s="5">
        <v>14528</v>
      </c>
      <c r="I285" s="1" t="s">
        <v>27</v>
      </c>
      <c r="J285" s="1" t="s">
        <v>26</v>
      </c>
      <c r="K285" s="1" t="s">
        <v>16</v>
      </c>
      <c r="L285" s="1">
        <v>5</v>
      </c>
      <c r="M285" s="1" t="s">
        <v>44</v>
      </c>
      <c r="N285" s="1" t="str">
        <f>TEXT(tblbills[[#This Row],[Date]],"mmm")</f>
        <v>Jan</v>
      </c>
      <c r="O285" s="1" t="str">
        <f>TEXT(tblbills[[#This Row],[Date]],"yyyy")</f>
        <v>2025</v>
      </c>
      <c r="Q285"/>
      <c r="R285"/>
      <c r="S285"/>
      <c r="T285"/>
      <c r="U285"/>
      <c r="V285"/>
    </row>
    <row r="286" spans="1:22" x14ac:dyDescent="0.3">
      <c r="A286" s="1" t="str">
        <f t="shared" si="4"/>
        <v>DE1285</v>
      </c>
      <c r="B286" s="1" t="s">
        <v>37</v>
      </c>
      <c r="C286" s="1" t="s">
        <v>58</v>
      </c>
      <c r="D286" s="1" t="s">
        <v>74</v>
      </c>
      <c r="E286" s="2">
        <v>45664</v>
      </c>
      <c r="F286" s="1">
        <v>4</v>
      </c>
      <c r="G286" s="5">
        <v>2947</v>
      </c>
      <c r="H286" s="5">
        <v>11788</v>
      </c>
      <c r="I286" s="1" t="s">
        <v>22</v>
      </c>
      <c r="J286" s="1" t="s">
        <v>26</v>
      </c>
      <c r="K286" s="1" t="s">
        <v>16</v>
      </c>
      <c r="L286" s="1">
        <v>2</v>
      </c>
      <c r="M286" s="1" t="s">
        <v>29</v>
      </c>
      <c r="N286" s="1" t="str">
        <f>TEXT(tblbills[[#This Row],[Date]],"mmm")</f>
        <v>Jan</v>
      </c>
      <c r="O286" s="1" t="str">
        <f>TEXT(tblbills[[#This Row],[Date]],"yyyy")</f>
        <v>2025</v>
      </c>
      <c r="Q286"/>
      <c r="R286"/>
      <c r="S286"/>
      <c r="T286"/>
      <c r="U286"/>
      <c r="V286"/>
    </row>
    <row r="287" spans="1:22" x14ac:dyDescent="0.3">
      <c r="A287" s="1" t="str">
        <f t="shared" si="4"/>
        <v>DE1286</v>
      </c>
      <c r="B287" s="1" t="s">
        <v>37</v>
      </c>
      <c r="C287" s="1" t="s">
        <v>58</v>
      </c>
      <c r="D287" s="1" t="s">
        <v>74</v>
      </c>
      <c r="E287" s="2">
        <v>45660</v>
      </c>
      <c r="F287" s="1">
        <v>20</v>
      </c>
      <c r="G287" s="5">
        <v>4443</v>
      </c>
      <c r="H287" s="5">
        <v>88860</v>
      </c>
      <c r="I287" s="1" t="s">
        <v>27</v>
      </c>
      <c r="J287" s="1" t="s">
        <v>59</v>
      </c>
      <c r="K287" s="1" t="s">
        <v>32</v>
      </c>
      <c r="L287" s="1">
        <v>0</v>
      </c>
      <c r="M287" s="1" t="s">
        <v>23</v>
      </c>
      <c r="N287" s="1" t="str">
        <f>TEXT(tblbills[[#This Row],[Date]],"mmm")</f>
        <v>Jan</v>
      </c>
      <c r="O287" s="1" t="str">
        <f>TEXT(tblbills[[#This Row],[Date]],"yyyy")</f>
        <v>2025</v>
      </c>
      <c r="Q287"/>
      <c r="R287"/>
      <c r="S287"/>
      <c r="T287"/>
      <c r="U287"/>
      <c r="V287"/>
    </row>
    <row r="288" spans="1:22" x14ac:dyDescent="0.3">
      <c r="A288" s="1" t="str">
        <f t="shared" si="4"/>
        <v>DE1287</v>
      </c>
      <c r="B288" s="1" t="s">
        <v>37</v>
      </c>
      <c r="C288" s="1" t="s">
        <v>73</v>
      </c>
      <c r="D288" s="1" t="s">
        <v>78</v>
      </c>
      <c r="E288" s="2">
        <v>45657</v>
      </c>
      <c r="F288" s="1">
        <v>2</v>
      </c>
      <c r="G288" s="5">
        <v>3500</v>
      </c>
      <c r="H288" s="5">
        <v>7000</v>
      </c>
      <c r="I288" s="1" t="s">
        <v>15</v>
      </c>
      <c r="J288" s="1" t="s">
        <v>21</v>
      </c>
      <c r="K288" s="1" t="s">
        <v>28</v>
      </c>
      <c r="L288" s="1">
        <v>0</v>
      </c>
      <c r="M288" s="1" t="s">
        <v>44</v>
      </c>
      <c r="N288" s="1" t="str">
        <f>TEXT(tblbills[[#This Row],[Date]],"mmm")</f>
        <v>Dec</v>
      </c>
      <c r="O288" s="1" t="str">
        <f>TEXT(tblbills[[#This Row],[Date]],"yyyy")</f>
        <v>2024</v>
      </c>
      <c r="Q288"/>
      <c r="R288"/>
      <c r="S288"/>
      <c r="T288"/>
      <c r="U288"/>
      <c r="V288"/>
    </row>
    <row r="289" spans="1:22" x14ac:dyDescent="0.3">
      <c r="A289" s="1" t="str">
        <f t="shared" si="4"/>
        <v>DE1288</v>
      </c>
      <c r="B289" s="1" t="s">
        <v>37</v>
      </c>
      <c r="C289" s="1" t="s">
        <v>58</v>
      </c>
      <c r="D289" s="1" t="s">
        <v>67</v>
      </c>
      <c r="E289" s="2">
        <v>45650</v>
      </c>
      <c r="F289" s="1">
        <v>8</v>
      </c>
      <c r="G289" s="5">
        <v>585</v>
      </c>
      <c r="H289" s="5">
        <v>4680</v>
      </c>
      <c r="I289" s="1" t="s">
        <v>15</v>
      </c>
      <c r="J289" s="1" t="s">
        <v>14</v>
      </c>
      <c r="K289" s="1" t="s">
        <v>28</v>
      </c>
      <c r="L289" s="1">
        <v>7</v>
      </c>
      <c r="M289" s="1" t="s">
        <v>44</v>
      </c>
      <c r="N289" s="1" t="str">
        <f>TEXT(tblbills[[#This Row],[Date]],"mmm")</f>
        <v>Dec</v>
      </c>
      <c r="O289" s="1" t="str">
        <f>TEXT(tblbills[[#This Row],[Date]],"yyyy")</f>
        <v>2024</v>
      </c>
      <c r="Q289"/>
      <c r="R289"/>
      <c r="S289"/>
      <c r="T289"/>
      <c r="U289"/>
      <c r="V289"/>
    </row>
    <row r="290" spans="1:22" x14ac:dyDescent="0.3">
      <c r="A290" s="1" t="str">
        <f t="shared" si="4"/>
        <v>DE1289</v>
      </c>
      <c r="B290" s="1" t="s">
        <v>37</v>
      </c>
      <c r="C290" s="1" t="s">
        <v>61</v>
      </c>
      <c r="D290" s="1" t="s">
        <v>56</v>
      </c>
      <c r="E290" s="2">
        <v>45649</v>
      </c>
      <c r="F290" s="1">
        <v>13</v>
      </c>
      <c r="G290" s="5">
        <v>1298</v>
      </c>
      <c r="H290" s="5">
        <v>16874</v>
      </c>
      <c r="I290" s="1" t="s">
        <v>27</v>
      </c>
      <c r="J290" s="1" t="s">
        <v>43</v>
      </c>
      <c r="K290" s="1" t="s">
        <v>28</v>
      </c>
      <c r="L290" s="1">
        <v>0</v>
      </c>
      <c r="M290" s="1" t="s">
        <v>44</v>
      </c>
      <c r="N290" s="1" t="str">
        <f>TEXT(tblbills[[#This Row],[Date]],"mmm")</f>
        <v>Dec</v>
      </c>
      <c r="O290" s="1" t="str">
        <f>TEXT(tblbills[[#This Row],[Date]],"yyyy")</f>
        <v>2024</v>
      </c>
      <c r="Q290"/>
      <c r="R290"/>
      <c r="S290"/>
      <c r="T290"/>
      <c r="U290"/>
      <c r="V290"/>
    </row>
    <row r="291" spans="1:22" x14ac:dyDescent="0.3">
      <c r="A291" s="1" t="str">
        <f t="shared" si="4"/>
        <v>DE1290</v>
      </c>
      <c r="B291" s="1" t="s">
        <v>37</v>
      </c>
      <c r="C291" s="1" t="s">
        <v>73</v>
      </c>
      <c r="D291" s="1" t="s">
        <v>56</v>
      </c>
      <c r="E291" s="2">
        <v>45646</v>
      </c>
      <c r="F291" s="1">
        <v>10</v>
      </c>
      <c r="G291" s="5">
        <v>766</v>
      </c>
      <c r="H291" s="5">
        <v>7660</v>
      </c>
      <c r="I291" s="1" t="s">
        <v>22</v>
      </c>
      <c r="J291" s="1" t="s">
        <v>21</v>
      </c>
      <c r="K291" s="1" t="s">
        <v>16</v>
      </c>
      <c r="L291" s="1">
        <v>7</v>
      </c>
      <c r="M291" s="1" t="s">
        <v>29</v>
      </c>
      <c r="N291" s="1" t="str">
        <f>TEXT(tblbills[[#This Row],[Date]],"mmm")</f>
        <v>Dec</v>
      </c>
      <c r="O291" s="1" t="str">
        <f>TEXT(tblbills[[#This Row],[Date]],"yyyy")</f>
        <v>2024</v>
      </c>
      <c r="Q291"/>
      <c r="R291"/>
      <c r="S291"/>
      <c r="T291"/>
      <c r="U291"/>
      <c r="V291"/>
    </row>
    <row r="292" spans="1:22" x14ac:dyDescent="0.3">
      <c r="A292" s="1" t="str">
        <f t="shared" si="4"/>
        <v>DE1291</v>
      </c>
      <c r="B292" s="1" t="s">
        <v>37</v>
      </c>
      <c r="C292" s="1" t="s">
        <v>58</v>
      </c>
      <c r="D292" s="1" t="s">
        <v>65</v>
      </c>
      <c r="E292" s="2">
        <v>45645</v>
      </c>
      <c r="F292" s="1">
        <v>18</v>
      </c>
      <c r="G292" s="5">
        <v>340</v>
      </c>
      <c r="H292" s="5">
        <v>6120</v>
      </c>
      <c r="I292" s="1" t="s">
        <v>22</v>
      </c>
      <c r="J292" s="1" t="s">
        <v>21</v>
      </c>
      <c r="K292" s="1" t="s">
        <v>28</v>
      </c>
      <c r="L292" s="1">
        <v>7</v>
      </c>
      <c r="M292" s="1" t="s">
        <v>23</v>
      </c>
      <c r="N292" s="1" t="str">
        <f>TEXT(tblbills[[#This Row],[Date]],"mmm")</f>
        <v>Dec</v>
      </c>
      <c r="O292" s="1" t="str">
        <f>TEXT(tblbills[[#This Row],[Date]],"yyyy")</f>
        <v>2024</v>
      </c>
      <c r="Q292"/>
      <c r="R292"/>
      <c r="S292"/>
      <c r="T292"/>
      <c r="U292"/>
      <c r="V292"/>
    </row>
    <row r="293" spans="1:22" x14ac:dyDescent="0.3">
      <c r="A293" s="1" t="str">
        <f t="shared" si="4"/>
        <v>DE1292</v>
      </c>
      <c r="B293" s="1" t="s">
        <v>37</v>
      </c>
      <c r="C293" s="1" t="s">
        <v>61</v>
      </c>
      <c r="D293" s="1" t="s">
        <v>36</v>
      </c>
      <c r="E293" s="2">
        <v>45645</v>
      </c>
      <c r="F293" s="1">
        <v>13</v>
      </c>
      <c r="G293" s="5">
        <v>2416</v>
      </c>
      <c r="H293" s="5">
        <v>31408</v>
      </c>
      <c r="I293" s="1" t="s">
        <v>22</v>
      </c>
      <c r="J293" s="1" t="s">
        <v>47</v>
      </c>
      <c r="K293" s="1" t="s">
        <v>16</v>
      </c>
      <c r="L293" s="1">
        <v>5</v>
      </c>
      <c r="M293" s="1" t="s">
        <v>17</v>
      </c>
      <c r="N293" s="1" t="str">
        <f>TEXT(tblbills[[#This Row],[Date]],"mmm")</f>
        <v>Dec</v>
      </c>
      <c r="O293" s="1" t="str">
        <f>TEXT(tblbills[[#This Row],[Date]],"yyyy")</f>
        <v>2024</v>
      </c>
      <c r="Q293"/>
      <c r="R293"/>
      <c r="S293"/>
      <c r="T293"/>
      <c r="U293"/>
      <c r="V293"/>
    </row>
    <row r="294" spans="1:22" x14ac:dyDescent="0.3">
      <c r="A294" s="1" t="str">
        <f t="shared" si="4"/>
        <v>DE1293</v>
      </c>
      <c r="B294" s="1" t="s">
        <v>37</v>
      </c>
      <c r="C294" s="1" t="s">
        <v>70</v>
      </c>
      <c r="D294" s="1" t="s">
        <v>65</v>
      </c>
      <c r="E294" s="2">
        <v>45638</v>
      </c>
      <c r="F294" s="1">
        <v>11</v>
      </c>
      <c r="G294" s="5">
        <v>2004</v>
      </c>
      <c r="H294" s="5">
        <v>22044</v>
      </c>
      <c r="I294" s="1" t="s">
        <v>15</v>
      </c>
      <c r="J294" s="1" t="s">
        <v>59</v>
      </c>
      <c r="K294" s="1" t="s">
        <v>16</v>
      </c>
      <c r="L294" s="1">
        <v>7</v>
      </c>
      <c r="M294" s="1" t="s">
        <v>44</v>
      </c>
      <c r="N294" s="1" t="str">
        <f>TEXT(tblbills[[#This Row],[Date]],"mmm")</f>
        <v>Dec</v>
      </c>
      <c r="O294" s="1" t="str">
        <f>TEXT(tblbills[[#This Row],[Date]],"yyyy")</f>
        <v>2024</v>
      </c>
      <c r="Q294"/>
      <c r="R294"/>
      <c r="S294"/>
      <c r="T294"/>
      <c r="U294"/>
      <c r="V294"/>
    </row>
    <row r="295" spans="1:22" x14ac:dyDescent="0.3">
      <c r="A295" s="1" t="str">
        <f t="shared" si="4"/>
        <v>DE1294</v>
      </c>
      <c r="B295" s="1" t="s">
        <v>37</v>
      </c>
      <c r="C295" s="1" t="s">
        <v>58</v>
      </c>
      <c r="D295" s="1" t="s">
        <v>40</v>
      </c>
      <c r="E295" s="2">
        <v>45636</v>
      </c>
      <c r="F295" s="1">
        <v>9</v>
      </c>
      <c r="G295" s="5">
        <v>3513</v>
      </c>
      <c r="H295" s="5">
        <v>31617</v>
      </c>
      <c r="I295" s="1" t="s">
        <v>22</v>
      </c>
      <c r="J295" s="1" t="s">
        <v>47</v>
      </c>
      <c r="K295" s="1" t="s">
        <v>32</v>
      </c>
      <c r="L295" s="1">
        <v>5</v>
      </c>
      <c r="M295" s="1" t="s">
        <v>44</v>
      </c>
      <c r="N295" s="1" t="str">
        <f>TEXT(tblbills[[#This Row],[Date]],"mmm")</f>
        <v>Dec</v>
      </c>
      <c r="O295" s="1" t="str">
        <f>TEXT(tblbills[[#This Row],[Date]],"yyyy")</f>
        <v>2024</v>
      </c>
      <c r="Q295"/>
      <c r="R295"/>
      <c r="S295"/>
      <c r="T295"/>
      <c r="U295"/>
      <c r="V295"/>
    </row>
    <row r="296" spans="1:22" x14ac:dyDescent="0.3">
      <c r="A296" s="1" t="str">
        <f t="shared" si="4"/>
        <v>DE1295</v>
      </c>
      <c r="B296" s="1" t="s">
        <v>37</v>
      </c>
      <c r="C296" s="1" t="s">
        <v>61</v>
      </c>
      <c r="D296" s="1" t="s">
        <v>78</v>
      </c>
      <c r="E296" s="2">
        <v>45634</v>
      </c>
      <c r="F296" s="1">
        <v>2</v>
      </c>
      <c r="G296" s="5">
        <v>4056</v>
      </c>
      <c r="H296" s="5">
        <v>8112</v>
      </c>
      <c r="I296" s="1" t="s">
        <v>22</v>
      </c>
      <c r="J296" s="1" t="s">
        <v>47</v>
      </c>
      <c r="K296" s="1" t="s">
        <v>28</v>
      </c>
      <c r="L296" s="1">
        <v>0</v>
      </c>
      <c r="M296" s="1" t="s">
        <v>23</v>
      </c>
      <c r="N296" s="1" t="str">
        <f>TEXT(tblbills[[#This Row],[Date]],"mmm")</f>
        <v>Dec</v>
      </c>
      <c r="O296" s="1" t="str">
        <f>TEXT(tblbills[[#This Row],[Date]],"yyyy")</f>
        <v>2024</v>
      </c>
      <c r="Q296"/>
      <c r="R296"/>
      <c r="S296"/>
      <c r="T296"/>
      <c r="U296"/>
      <c r="V296"/>
    </row>
    <row r="297" spans="1:22" x14ac:dyDescent="0.3">
      <c r="A297" s="1" t="str">
        <f t="shared" si="4"/>
        <v>DE1296</v>
      </c>
      <c r="B297" s="1" t="s">
        <v>37</v>
      </c>
      <c r="C297" s="1" t="s">
        <v>61</v>
      </c>
      <c r="D297" s="1" t="s">
        <v>18</v>
      </c>
      <c r="E297" s="2">
        <v>45625</v>
      </c>
      <c r="F297" s="1">
        <v>3</v>
      </c>
      <c r="G297" s="5">
        <v>1940</v>
      </c>
      <c r="H297" s="5">
        <v>5820</v>
      </c>
      <c r="I297" s="1" t="s">
        <v>27</v>
      </c>
      <c r="J297" s="1" t="s">
        <v>14</v>
      </c>
      <c r="K297" s="1" t="s">
        <v>32</v>
      </c>
      <c r="L297" s="1">
        <v>0</v>
      </c>
      <c r="M297" s="1" t="s">
        <v>17</v>
      </c>
      <c r="N297" s="1" t="str">
        <f>TEXT(tblbills[[#This Row],[Date]],"mmm")</f>
        <v>Nov</v>
      </c>
      <c r="O297" s="1" t="str">
        <f>TEXT(tblbills[[#This Row],[Date]],"yyyy")</f>
        <v>2024</v>
      </c>
      <c r="Q297"/>
      <c r="R297"/>
      <c r="S297"/>
      <c r="T297"/>
      <c r="U297"/>
      <c r="V297"/>
    </row>
    <row r="298" spans="1:22" x14ac:dyDescent="0.3">
      <c r="A298" s="1" t="str">
        <f t="shared" si="4"/>
        <v>DE1297</v>
      </c>
      <c r="B298" s="1" t="s">
        <v>37</v>
      </c>
      <c r="C298" s="1" t="s">
        <v>70</v>
      </c>
      <c r="D298" s="1" t="s">
        <v>51</v>
      </c>
      <c r="E298" s="2">
        <v>45624</v>
      </c>
      <c r="F298" s="1">
        <v>11</v>
      </c>
      <c r="G298" s="5">
        <v>3498</v>
      </c>
      <c r="H298" s="5">
        <v>38478</v>
      </c>
      <c r="I298" s="1" t="s">
        <v>15</v>
      </c>
      <c r="J298" s="1" t="s">
        <v>21</v>
      </c>
      <c r="K298" s="1" t="s">
        <v>32</v>
      </c>
      <c r="L298" s="1">
        <v>0</v>
      </c>
      <c r="M298" s="1" t="s">
        <v>29</v>
      </c>
      <c r="N298" s="1" t="str">
        <f>TEXT(tblbills[[#This Row],[Date]],"mmm")</f>
        <v>Nov</v>
      </c>
      <c r="O298" s="1" t="str">
        <f>TEXT(tblbills[[#This Row],[Date]],"yyyy")</f>
        <v>2024</v>
      </c>
      <c r="Q298"/>
      <c r="R298"/>
      <c r="S298"/>
      <c r="T298"/>
      <c r="U298"/>
      <c r="V298"/>
    </row>
    <row r="299" spans="1:22" x14ac:dyDescent="0.3">
      <c r="A299" s="1" t="str">
        <f t="shared" si="4"/>
        <v>DE1298</v>
      </c>
      <c r="B299" s="1" t="s">
        <v>37</v>
      </c>
      <c r="C299" s="1" t="s">
        <v>61</v>
      </c>
      <c r="D299" s="1" t="s">
        <v>67</v>
      </c>
      <c r="E299" s="2">
        <v>45621</v>
      </c>
      <c r="F299" s="1">
        <v>3</v>
      </c>
      <c r="G299" s="5">
        <v>2069</v>
      </c>
      <c r="H299" s="5">
        <v>6207</v>
      </c>
      <c r="I299" s="1" t="s">
        <v>22</v>
      </c>
      <c r="J299" s="1" t="s">
        <v>39</v>
      </c>
      <c r="K299" s="1" t="s">
        <v>16</v>
      </c>
      <c r="L299" s="1">
        <v>7</v>
      </c>
      <c r="M299" s="1" t="s">
        <v>33</v>
      </c>
      <c r="N299" s="1" t="str">
        <f>TEXT(tblbills[[#This Row],[Date]],"mmm")</f>
        <v>Nov</v>
      </c>
      <c r="O299" s="1" t="str">
        <f>TEXT(tblbills[[#This Row],[Date]],"yyyy")</f>
        <v>2024</v>
      </c>
      <c r="Q299"/>
      <c r="R299"/>
      <c r="S299"/>
      <c r="T299"/>
      <c r="U299"/>
      <c r="V299"/>
    </row>
    <row r="300" spans="1:22" x14ac:dyDescent="0.3">
      <c r="A300" s="1" t="str">
        <f t="shared" si="4"/>
        <v>DE1299</v>
      </c>
      <c r="B300" s="1" t="s">
        <v>37</v>
      </c>
      <c r="C300" s="1" t="s">
        <v>58</v>
      </c>
      <c r="D300" s="1" t="s">
        <v>49</v>
      </c>
      <c r="E300" s="2">
        <v>45620</v>
      </c>
      <c r="F300" s="1">
        <v>13</v>
      </c>
      <c r="G300" s="5">
        <v>3010</v>
      </c>
      <c r="H300" s="5">
        <v>39130</v>
      </c>
      <c r="I300" s="1" t="s">
        <v>27</v>
      </c>
      <c r="J300" s="1" t="s">
        <v>59</v>
      </c>
      <c r="K300" s="1" t="s">
        <v>28</v>
      </c>
      <c r="L300" s="1">
        <v>5</v>
      </c>
      <c r="M300" s="1" t="s">
        <v>33</v>
      </c>
      <c r="N300" s="1" t="str">
        <f>TEXT(tblbills[[#This Row],[Date]],"mmm")</f>
        <v>Nov</v>
      </c>
      <c r="O300" s="1" t="str">
        <f>TEXT(tblbills[[#This Row],[Date]],"yyyy")</f>
        <v>2024</v>
      </c>
      <c r="Q300"/>
      <c r="R300"/>
      <c r="S300"/>
      <c r="T300"/>
      <c r="U300"/>
      <c r="V300"/>
    </row>
    <row r="301" spans="1:22" x14ac:dyDescent="0.3">
      <c r="A301" s="1" t="str">
        <f t="shared" si="4"/>
        <v>DE1300</v>
      </c>
      <c r="B301" s="1" t="s">
        <v>37</v>
      </c>
      <c r="C301" s="1" t="s">
        <v>61</v>
      </c>
      <c r="D301" s="1" t="s">
        <v>34</v>
      </c>
      <c r="E301" s="2">
        <v>45619</v>
      </c>
      <c r="F301" s="1">
        <v>10</v>
      </c>
      <c r="G301" s="5">
        <v>1845</v>
      </c>
      <c r="H301" s="5">
        <v>18450</v>
      </c>
      <c r="I301" s="1" t="s">
        <v>22</v>
      </c>
      <c r="J301" s="1" t="s">
        <v>14</v>
      </c>
      <c r="K301" s="1" t="s">
        <v>16</v>
      </c>
      <c r="L301" s="1">
        <v>2</v>
      </c>
      <c r="M301" s="1" t="s">
        <v>29</v>
      </c>
      <c r="N301" s="1" t="str">
        <f>TEXT(tblbills[[#This Row],[Date]],"mmm")</f>
        <v>Nov</v>
      </c>
      <c r="O301" s="1" t="str">
        <f>TEXT(tblbills[[#This Row],[Date]],"yyyy")</f>
        <v>2024</v>
      </c>
      <c r="Q301"/>
      <c r="R301"/>
      <c r="S301"/>
      <c r="T301"/>
      <c r="U301"/>
      <c r="V301"/>
    </row>
    <row r="302" spans="1:22" x14ac:dyDescent="0.3">
      <c r="A302" s="1" t="str">
        <f t="shared" si="4"/>
        <v>DE1301</v>
      </c>
      <c r="B302" s="1" t="s">
        <v>37</v>
      </c>
      <c r="C302" s="1" t="s">
        <v>61</v>
      </c>
      <c r="D302" s="1" t="s">
        <v>24</v>
      </c>
      <c r="E302" s="2">
        <v>45615</v>
      </c>
      <c r="F302" s="1">
        <v>4</v>
      </c>
      <c r="G302" s="5">
        <v>360</v>
      </c>
      <c r="H302" s="5">
        <v>1440</v>
      </c>
      <c r="I302" s="1" t="s">
        <v>22</v>
      </c>
      <c r="J302" s="1" t="s">
        <v>26</v>
      </c>
      <c r="K302" s="1" t="s">
        <v>32</v>
      </c>
      <c r="L302" s="1">
        <v>7</v>
      </c>
      <c r="M302" s="1" t="s">
        <v>33</v>
      </c>
      <c r="N302" s="1" t="str">
        <f>TEXT(tblbills[[#This Row],[Date]],"mmm")</f>
        <v>Nov</v>
      </c>
      <c r="O302" s="1" t="str">
        <f>TEXT(tblbills[[#This Row],[Date]],"yyyy")</f>
        <v>2024</v>
      </c>
      <c r="Q302"/>
      <c r="R302"/>
      <c r="S302"/>
      <c r="T302"/>
      <c r="U302"/>
      <c r="V302"/>
    </row>
    <row r="303" spans="1:22" x14ac:dyDescent="0.3">
      <c r="A303" s="1" t="str">
        <f t="shared" si="4"/>
        <v>DE1302</v>
      </c>
      <c r="B303" s="1" t="s">
        <v>37</v>
      </c>
      <c r="C303" s="1" t="s">
        <v>61</v>
      </c>
      <c r="D303" s="1" t="s">
        <v>45</v>
      </c>
      <c r="E303" s="2">
        <v>45613</v>
      </c>
      <c r="F303" s="1">
        <v>12</v>
      </c>
      <c r="G303" s="5">
        <v>511</v>
      </c>
      <c r="H303" s="5">
        <v>6132</v>
      </c>
      <c r="I303" s="1" t="s">
        <v>27</v>
      </c>
      <c r="J303" s="1" t="s">
        <v>47</v>
      </c>
      <c r="K303" s="1" t="s">
        <v>32</v>
      </c>
      <c r="L303" s="1">
        <v>7</v>
      </c>
      <c r="M303" s="1" t="s">
        <v>33</v>
      </c>
      <c r="N303" s="1" t="str">
        <f>TEXT(tblbills[[#This Row],[Date]],"mmm")</f>
        <v>Nov</v>
      </c>
      <c r="O303" s="1" t="str">
        <f>TEXT(tblbills[[#This Row],[Date]],"yyyy")</f>
        <v>2024</v>
      </c>
      <c r="Q303"/>
      <c r="R303"/>
      <c r="S303"/>
      <c r="T303"/>
      <c r="U303"/>
      <c r="V303"/>
    </row>
    <row r="304" spans="1:22" x14ac:dyDescent="0.3">
      <c r="A304" s="1" t="str">
        <f t="shared" si="4"/>
        <v>DE1303</v>
      </c>
      <c r="B304" s="1" t="s">
        <v>37</v>
      </c>
      <c r="C304" s="1" t="s">
        <v>58</v>
      </c>
      <c r="D304" s="1" t="s">
        <v>24</v>
      </c>
      <c r="E304" s="2">
        <v>45613</v>
      </c>
      <c r="F304" s="1">
        <v>2</v>
      </c>
      <c r="G304" s="5">
        <v>3393</v>
      </c>
      <c r="H304" s="5">
        <v>6786</v>
      </c>
      <c r="I304" s="1" t="s">
        <v>15</v>
      </c>
      <c r="J304" s="1" t="s">
        <v>47</v>
      </c>
      <c r="K304" s="1" t="s">
        <v>32</v>
      </c>
      <c r="L304" s="1">
        <v>0</v>
      </c>
      <c r="M304" s="1" t="s">
        <v>33</v>
      </c>
      <c r="N304" s="1" t="str">
        <f>TEXT(tblbills[[#This Row],[Date]],"mmm")</f>
        <v>Nov</v>
      </c>
      <c r="O304" s="1" t="str">
        <f>TEXT(tblbills[[#This Row],[Date]],"yyyy")</f>
        <v>2024</v>
      </c>
      <c r="Q304"/>
      <c r="R304"/>
      <c r="S304"/>
      <c r="T304"/>
      <c r="U304"/>
      <c r="V304"/>
    </row>
    <row r="305" spans="1:22" x14ac:dyDescent="0.3">
      <c r="A305" s="1" t="str">
        <f t="shared" si="4"/>
        <v>DE1304</v>
      </c>
      <c r="B305" s="1" t="s">
        <v>37</v>
      </c>
      <c r="C305" s="1" t="s">
        <v>58</v>
      </c>
      <c r="D305" s="1" t="s">
        <v>24</v>
      </c>
      <c r="E305" s="2">
        <v>45605</v>
      </c>
      <c r="F305" s="1">
        <v>19</v>
      </c>
      <c r="G305" s="5">
        <v>3105</v>
      </c>
      <c r="H305" s="5">
        <v>58995</v>
      </c>
      <c r="I305" s="1" t="s">
        <v>15</v>
      </c>
      <c r="J305" s="1" t="s">
        <v>39</v>
      </c>
      <c r="K305" s="1" t="s">
        <v>28</v>
      </c>
      <c r="L305" s="1">
        <v>10</v>
      </c>
      <c r="M305" s="1" t="s">
        <v>33</v>
      </c>
      <c r="N305" s="1" t="str">
        <f>TEXT(tblbills[[#This Row],[Date]],"mmm")</f>
        <v>Nov</v>
      </c>
      <c r="O305" s="1" t="str">
        <f>TEXT(tblbills[[#This Row],[Date]],"yyyy")</f>
        <v>2024</v>
      </c>
      <c r="Q305"/>
      <c r="R305"/>
      <c r="S305"/>
      <c r="T305"/>
      <c r="U305"/>
      <c r="V305"/>
    </row>
    <row r="306" spans="1:22" x14ac:dyDescent="0.3">
      <c r="A306" s="1" t="str">
        <f t="shared" si="4"/>
        <v>DE1305</v>
      </c>
      <c r="B306" s="1" t="s">
        <v>37</v>
      </c>
      <c r="C306" s="1" t="s">
        <v>61</v>
      </c>
      <c r="D306" s="1" t="s">
        <v>67</v>
      </c>
      <c r="E306" s="2">
        <v>45604</v>
      </c>
      <c r="F306" s="1">
        <v>20</v>
      </c>
      <c r="G306" s="5">
        <v>1296</v>
      </c>
      <c r="H306" s="5">
        <v>25920</v>
      </c>
      <c r="I306" s="1" t="s">
        <v>27</v>
      </c>
      <c r="J306" s="1" t="s">
        <v>14</v>
      </c>
      <c r="K306" s="1" t="s">
        <v>28</v>
      </c>
      <c r="L306" s="1">
        <v>10</v>
      </c>
      <c r="M306" s="1" t="s">
        <v>17</v>
      </c>
      <c r="N306" s="1" t="str">
        <f>TEXT(tblbills[[#This Row],[Date]],"mmm")</f>
        <v>Nov</v>
      </c>
      <c r="O306" s="1" t="str">
        <f>TEXT(tblbills[[#This Row],[Date]],"yyyy")</f>
        <v>2024</v>
      </c>
      <c r="Q306"/>
      <c r="R306"/>
      <c r="S306"/>
      <c r="T306"/>
      <c r="U306"/>
      <c r="V306"/>
    </row>
    <row r="307" spans="1:22" x14ac:dyDescent="0.3">
      <c r="A307" s="1" t="str">
        <f t="shared" si="4"/>
        <v>DE1306</v>
      </c>
      <c r="B307" s="1" t="s">
        <v>37</v>
      </c>
      <c r="C307" s="1" t="s">
        <v>58</v>
      </c>
      <c r="D307" s="1" t="s">
        <v>79</v>
      </c>
      <c r="E307" s="2">
        <v>45602</v>
      </c>
      <c r="F307" s="1">
        <v>3</v>
      </c>
      <c r="G307" s="5">
        <v>658</v>
      </c>
      <c r="H307" s="5">
        <v>1974</v>
      </c>
      <c r="I307" s="1" t="s">
        <v>22</v>
      </c>
      <c r="J307" s="1" t="s">
        <v>14</v>
      </c>
      <c r="K307" s="1" t="s">
        <v>16</v>
      </c>
      <c r="L307" s="1">
        <v>2</v>
      </c>
      <c r="M307" s="1" t="s">
        <v>17</v>
      </c>
      <c r="N307" s="1" t="str">
        <f>TEXT(tblbills[[#This Row],[Date]],"mmm")</f>
        <v>Nov</v>
      </c>
      <c r="O307" s="1" t="str">
        <f>TEXT(tblbills[[#This Row],[Date]],"yyyy")</f>
        <v>2024</v>
      </c>
      <c r="Q307"/>
      <c r="R307"/>
      <c r="S307"/>
      <c r="T307"/>
      <c r="U307"/>
      <c r="V307"/>
    </row>
    <row r="308" spans="1:22" x14ac:dyDescent="0.3">
      <c r="A308" s="1" t="str">
        <f t="shared" si="4"/>
        <v>DE1307</v>
      </c>
      <c r="B308" s="1" t="s">
        <v>37</v>
      </c>
      <c r="C308" s="1" t="s">
        <v>61</v>
      </c>
      <c r="D308" s="1" t="s">
        <v>49</v>
      </c>
      <c r="E308" s="2">
        <v>45598</v>
      </c>
      <c r="F308" s="1">
        <v>20</v>
      </c>
      <c r="G308" s="5">
        <v>536</v>
      </c>
      <c r="H308" s="5">
        <v>10720</v>
      </c>
      <c r="I308" s="1" t="s">
        <v>22</v>
      </c>
      <c r="J308" s="1" t="s">
        <v>59</v>
      </c>
      <c r="K308" s="1" t="s">
        <v>32</v>
      </c>
      <c r="L308" s="1">
        <v>0</v>
      </c>
      <c r="M308" s="1" t="s">
        <v>17</v>
      </c>
      <c r="N308" s="1" t="str">
        <f>TEXT(tblbills[[#This Row],[Date]],"mmm")</f>
        <v>Nov</v>
      </c>
      <c r="O308" s="1" t="str">
        <f>TEXT(tblbills[[#This Row],[Date]],"yyyy")</f>
        <v>2024</v>
      </c>
      <c r="Q308"/>
      <c r="R308"/>
      <c r="S308"/>
      <c r="T308"/>
      <c r="U308"/>
      <c r="V308"/>
    </row>
    <row r="309" spans="1:22" x14ac:dyDescent="0.3">
      <c r="A309" s="1" t="str">
        <f t="shared" si="4"/>
        <v>DE1308</v>
      </c>
      <c r="B309" s="1" t="s">
        <v>37</v>
      </c>
      <c r="C309" s="1" t="s">
        <v>61</v>
      </c>
      <c r="D309" s="1" t="s">
        <v>34</v>
      </c>
      <c r="E309" s="2">
        <v>45594</v>
      </c>
      <c r="F309" s="1">
        <v>11</v>
      </c>
      <c r="G309" s="5">
        <v>3075</v>
      </c>
      <c r="H309" s="5">
        <v>33825</v>
      </c>
      <c r="I309" s="1" t="s">
        <v>22</v>
      </c>
      <c r="J309" s="1" t="s">
        <v>59</v>
      </c>
      <c r="K309" s="1" t="s">
        <v>32</v>
      </c>
      <c r="L309" s="1">
        <v>5</v>
      </c>
      <c r="M309" s="1" t="s">
        <v>29</v>
      </c>
      <c r="N309" s="1" t="str">
        <f>TEXT(tblbills[[#This Row],[Date]],"mmm")</f>
        <v>Oct</v>
      </c>
      <c r="O309" s="1" t="str">
        <f>TEXT(tblbills[[#This Row],[Date]],"yyyy")</f>
        <v>2024</v>
      </c>
      <c r="Q309"/>
      <c r="R309"/>
      <c r="S309"/>
      <c r="T309"/>
      <c r="U309"/>
      <c r="V309"/>
    </row>
    <row r="310" spans="1:22" x14ac:dyDescent="0.3">
      <c r="A310" s="1" t="str">
        <f t="shared" si="4"/>
        <v>DE1309</v>
      </c>
      <c r="B310" s="1" t="s">
        <v>37</v>
      </c>
      <c r="C310" s="1" t="s">
        <v>70</v>
      </c>
      <c r="D310" s="1" t="s">
        <v>34</v>
      </c>
      <c r="E310" s="2">
        <v>45587</v>
      </c>
      <c r="F310" s="1">
        <v>3</v>
      </c>
      <c r="G310" s="5">
        <v>4335</v>
      </c>
      <c r="H310" s="5">
        <v>13005</v>
      </c>
      <c r="I310" s="1" t="s">
        <v>15</v>
      </c>
      <c r="J310" s="1" t="s">
        <v>39</v>
      </c>
      <c r="K310" s="1" t="s">
        <v>32</v>
      </c>
      <c r="L310" s="1">
        <v>5</v>
      </c>
      <c r="M310" s="1" t="s">
        <v>23</v>
      </c>
      <c r="N310" s="1" t="str">
        <f>TEXT(tblbills[[#This Row],[Date]],"mmm")</f>
        <v>Oct</v>
      </c>
      <c r="O310" s="1" t="str">
        <f>TEXT(tblbills[[#This Row],[Date]],"yyyy")</f>
        <v>2024</v>
      </c>
      <c r="Q310"/>
      <c r="R310"/>
      <c r="S310"/>
      <c r="T310"/>
      <c r="U310"/>
      <c r="V310"/>
    </row>
    <row r="311" spans="1:22" x14ac:dyDescent="0.3">
      <c r="A311" s="1" t="str">
        <f t="shared" si="4"/>
        <v>DE1310</v>
      </c>
      <c r="B311" s="1" t="s">
        <v>37</v>
      </c>
      <c r="C311" s="1" t="s">
        <v>70</v>
      </c>
      <c r="D311" s="1" t="s">
        <v>57</v>
      </c>
      <c r="E311" s="2">
        <v>45584</v>
      </c>
      <c r="F311" s="1">
        <v>10</v>
      </c>
      <c r="G311" s="5">
        <v>1422</v>
      </c>
      <c r="H311" s="5">
        <v>14220</v>
      </c>
      <c r="I311" s="1" t="s">
        <v>27</v>
      </c>
      <c r="J311" s="1" t="s">
        <v>14</v>
      </c>
      <c r="K311" s="1" t="s">
        <v>28</v>
      </c>
      <c r="L311" s="1">
        <v>0</v>
      </c>
      <c r="M311" s="1" t="s">
        <v>29</v>
      </c>
      <c r="N311" s="1" t="str">
        <f>TEXT(tblbills[[#This Row],[Date]],"mmm")</f>
        <v>Oct</v>
      </c>
      <c r="O311" s="1" t="str">
        <f>TEXT(tblbills[[#This Row],[Date]],"yyyy")</f>
        <v>2024</v>
      </c>
      <c r="Q311"/>
      <c r="R311"/>
      <c r="S311"/>
      <c r="T311"/>
      <c r="U311"/>
      <c r="V311"/>
    </row>
    <row r="312" spans="1:22" x14ac:dyDescent="0.3">
      <c r="A312" s="1" t="str">
        <f t="shared" si="4"/>
        <v>DE1311</v>
      </c>
      <c r="B312" s="1" t="s">
        <v>37</v>
      </c>
      <c r="C312" s="1" t="s">
        <v>58</v>
      </c>
      <c r="D312" s="1" t="s">
        <v>40</v>
      </c>
      <c r="E312" s="2">
        <v>45583</v>
      </c>
      <c r="F312" s="1">
        <v>2</v>
      </c>
      <c r="G312" s="5">
        <v>788</v>
      </c>
      <c r="H312" s="5">
        <v>1576</v>
      </c>
      <c r="I312" s="1" t="s">
        <v>27</v>
      </c>
      <c r="J312" s="1" t="s">
        <v>14</v>
      </c>
      <c r="K312" s="1" t="s">
        <v>16</v>
      </c>
      <c r="L312" s="1">
        <v>2</v>
      </c>
      <c r="M312" s="1" t="s">
        <v>44</v>
      </c>
      <c r="N312" s="1" t="str">
        <f>TEXT(tblbills[[#This Row],[Date]],"mmm")</f>
        <v>Oct</v>
      </c>
      <c r="O312" s="1" t="str">
        <f>TEXT(tblbills[[#This Row],[Date]],"yyyy")</f>
        <v>2024</v>
      </c>
      <c r="Q312"/>
      <c r="R312"/>
      <c r="S312"/>
      <c r="T312"/>
      <c r="U312"/>
      <c r="V312"/>
    </row>
    <row r="313" spans="1:22" x14ac:dyDescent="0.3">
      <c r="A313" s="1" t="str">
        <f t="shared" si="4"/>
        <v>DE1312</v>
      </c>
      <c r="B313" s="1" t="s">
        <v>37</v>
      </c>
      <c r="C313" s="1" t="s">
        <v>73</v>
      </c>
      <c r="D313" s="1" t="s">
        <v>30</v>
      </c>
      <c r="E313" s="2">
        <v>45582</v>
      </c>
      <c r="F313" s="1">
        <v>6</v>
      </c>
      <c r="G313" s="5">
        <v>4394</v>
      </c>
      <c r="H313" s="5">
        <v>26364</v>
      </c>
      <c r="I313" s="1" t="s">
        <v>22</v>
      </c>
      <c r="J313" s="1" t="s">
        <v>59</v>
      </c>
      <c r="K313" s="1" t="s">
        <v>32</v>
      </c>
      <c r="L313" s="1">
        <v>2</v>
      </c>
      <c r="M313" s="1" t="s">
        <v>44</v>
      </c>
      <c r="N313" s="1" t="str">
        <f>TEXT(tblbills[[#This Row],[Date]],"mmm")</f>
        <v>Oct</v>
      </c>
      <c r="O313" s="1" t="str">
        <f>TEXT(tblbills[[#This Row],[Date]],"yyyy")</f>
        <v>2024</v>
      </c>
      <c r="Q313"/>
      <c r="R313"/>
      <c r="S313"/>
      <c r="T313"/>
      <c r="U313"/>
      <c r="V313"/>
    </row>
    <row r="314" spans="1:22" x14ac:dyDescent="0.3">
      <c r="A314" s="1" t="str">
        <f t="shared" si="4"/>
        <v>DE1313</v>
      </c>
      <c r="B314" s="1" t="s">
        <v>37</v>
      </c>
      <c r="C314" s="1" t="s">
        <v>70</v>
      </c>
      <c r="D314" s="1" t="s">
        <v>34</v>
      </c>
      <c r="E314" s="2">
        <v>45573</v>
      </c>
      <c r="F314" s="1">
        <v>6</v>
      </c>
      <c r="G314" s="5">
        <v>1928</v>
      </c>
      <c r="H314" s="5">
        <v>11568</v>
      </c>
      <c r="I314" s="1" t="s">
        <v>15</v>
      </c>
      <c r="J314" s="1" t="s">
        <v>47</v>
      </c>
      <c r="K314" s="1" t="s">
        <v>16</v>
      </c>
      <c r="L314" s="1">
        <v>10</v>
      </c>
      <c r="M314" s="1" t="s">
        <v>17</v>
      </c>
      <c r="N314" s="1" t="str">
        <f>TEXT(tblbills[[#This Row],[Date]],"mmm")</f>
        <v>Oct</v>
      </c>
      <c r="O314" s="1" t="str">
        <f>TEXT(tblbills[[#This Row],[Date]],"yyyy")</f>
        <v>2024</v>
      </c>
      <c r="Q314"/>
      <c r="R314"/>
      <c r="S314"/>
      <c r="T314"/>
      <c r="U314"/>
      <c r="V314"/>
    </row>
    <row r="315" spans="1:22" x14ac:dyDescent="0.3">
      <c r="A315" s="1" t="str">
        <f t="shared" si="4"/>
        <v>DE1314</v>
      </c>
      <c r="B315" s="1" t="s">
        <v>37</v>
      </c>
      <c r="C315" s="1" t="s">
        <v>38</v>
      </c>
      <c r="D315" s="1" t="s">
        <v>40</v>
      </c>
      <c r="E315" s="2">
        <v>45568</v>
      </c>
      <c r="F315" s="1">
        <v>9</v>
      </c>
      <c r="G315" s="5">
        <v>3812</v>
      </c>
      <c r="H315" s="5">
        <v>34308</v>
      </c>
      <c r="I315" s="1" t="s">
        <v>22</v>
      </c>
      <c r="J315" s="1" t="s">
        <v>21</v>
      </c>
      <c r="K315" s="1" t="s">
        <v>32</v>
      </c>
      <c r="L315" s="1">
        <v>0</v>
      </c>
      <c r="M315" s="1" t="s">
        <v>33</v>
      </c>
      <c r="N315" s="1" t="str">
        <f>TEXT(tblbills[[#This Row],[Date]],"mmm")</f>
        <v>Oct</v>
      </c>
      <c r="O315" s="1" t="str">
        <f>TEXT(tblbills[[#This Row],[Date]],"yyyy")</f>
        <v>2024</v>
      </c>
      <c r="Q315"/>
      <c r="R315"/>
      <c r="S315"/>
      <c r="T315"/>
      <c r="U315"/>
      <c r="V315"/>
    </row>
    <row r="316" spans="1:22" x14ac:dyDescent="0.3">
      <c r="A316" s="1" t="str">
        <f t="shared" si="4"/>
        <v>DE1315</v>
      </c>
      <c r="B316" s="1" t="s">
        <v>37</v>
      </c>
      <c r="C316" s="1" t="s">
        <v>58</v>
      </c>
      <c r="D316" s="1" t="s">
        <v>49</v>
      </c>
      <c r="E316" s="2">
        <v>45568</v>
      </c>
      <c r="F316" s="1">
        <v>5</v>
      </c>
      <c r="G316" s="5">
        <v>3992</v>
      </c>
      <c r="H316" s="5">
        <v>19960</v>
      </c>
      <c r="I316" s="1" t="s">
        <v>27</v>
      </c>
      <c r="J316" s="1" t="s">
        <v>59</v>
      </c>
      <c r="K316" s="1" t="s">
        <v>28</v>
      </c>
      <c r="L316" s="1">
        <v>0</v>
      </c>
      <c r="M316" s="1" t="s">
        <v>44</v>
      </c>
      <c r="N316" s="1" t="str">
        <f>TEXT(tblbills[[#This Row],[Date]],"mmm")</f>
        <v>Oct</v>
      </c>
      <c r="O316" s="1" t="str">
        <f>TEXT(tblbills[[#This Row],[Date]],"yyyy")</f>
        <v>2024</v>
      </c>
      <c r="Q316"/>
      <c r="R316"/>
      <c r="S316"/>
      <c r="T316"/>
      <c r="U316"/>
      <c r="V316"/>
    </row>
    <row r="317" spans="1:22" x14ac:dyDescent="0.3">
      <c r="A317" s="1" t="str">
        <f t="shared" si="4"/>
        <v>DE1316</v>
      </c>
      <c r="B317" s="1" t="s">
        <v>37</v>
      </c>
      <c r="C317" s="1" t="s">
        <v>38</v>
      </c>
      <c r="D317" s="1" t="s">
        <v>67</v>
      </c>
      <c r="E317" s="2">
        <v>45567</v>
      </c>
      <c r="F317" s="1">
        <v>16</v>
      </c>
      <c r="G317" s="5">
        <v>2746</v>
      </c>
      <c r="H317" s="5">
        <v>43936</v>
      </c>
      <c r="I317" s="1" t="s">
        <v>15</v>
      </c>
      <c r="J317" s="1" t="s">
        <v>26</v>
      </c>
      <c r="K317" s="1" t="s">
        <v>28</v>
      </c>
      <c r="L317" s="1">
        <v>5</v>
      </c>
      <c r="M317" s="1" t="s">
        <v>33</v>
      </c>
      <c r="N317" s="1" t="str">
        <f>TEXT(tblbills[[#This Row],[Date]],"mmm")</f>
        <v>Oct</v>
      </c>
      <c r="O317" s="1" t="str">
        <f>TEXT(tblbills[[#This Row],[Date]],"yyyy")</f>
        <v>2024</v>
      </c>
      <c r="Q317"/>
      <c r="R317"/>
      <c r="S317"/>
      <c r="T317"/>
      <c r="U317"/>
      <c r="V317"/>
    </row>
    <row r="318" spans="1:22" x14ac:dyDescent="0.3">
      <c r="A318" s="1" t="str">
        <f t="shared" si="4"/>
        <v>DE1317</v>
      </c>
      <c r="B318" s="1" t="s">
        <v>37</v>
      </c>
      <c r="C318" s="1" t="s">
        <v>70</v>
      </c>
      <c r="D318" s="1" t="s">
        <v>11</v>
      </c>
      <c r="E318" s="2">
        <v>45566</v>
      </c>
      <c r="F318" s="1">
        <v>1</v>
      </c>
      <c r="G318" s="5">
        <v>1368</v>
      </c>
      <c r="H318" s="5">
        <v>1368</v>
      </c>
      <c r="I318" s="1" t="s">
        <v>22</v>
      </c>
      <c r="J318" s="1" t="s">
        <v>43</v>
      </c>
      <c r="K318" s="1" t="s">
        <v>16</v>
      </c>
      <c r="L318" s="1">
        <v>0</v>
      </c>
      <c r="M318" s="1" t="s">
        <v>44</v>
      </c>
      <c r="N318" s="1" t="str">
        <f>TEXT(tblbills[[#This Row],[Date]],"mmm")</f>
        <v>Oct</v>
      </c>
      <c r="O318" s="1" t="str">
        <f>TEXT(tblbills[[#This Row],[Date]],"yyyy")</f>
        <v>2024</v>
      </c>
      <c r="Q318"/>
      <c r="R318"/>
      <c r="S318"/>
      <c r="T318"/>
      <c r="U318"/>
      <c r="V318"/>
    </row>
    <row r="319" spans="1:22" x14ac:dyDescent="0.3">
      <c r="A319" s="1" t="str">
        <f t="shared" si="4"/>
        <v>DE1318</v>
      </c>
      <c r="B319" s="1" t="s">
        <v>37</v>
      </c>
      <c r="C319" s="1" t="s">
        <v>61</v>
      </c>
      <c r="D319" s="1" t="s">
        <v>76</v>
      </c>
      <c r="E319" s="2">
        <v>45566</v>
      </c>
      <c r="F319" s="1">
        <v>3</v>
      </c>
      <c r="G319" s="5">
        <v>1406</v>
      </c>
      <c r="H319" s="5">
        <v>4218</v>
      </c>
      <c r="I319" s="1" t="s">
        <v>15</v>
      </c>
      <c r="J319" s="1" t="s">
        <v>21</v>
      </c>
      <c r="K319" s="1" t="s">
        <v>28</v>
      </c>
      <c r="L319" s="1">
        <v>2</v>
      </c>
      <c r="M319" s="1" t="s">
        <v>17</v>
      </c>
      <c r="N319" s="1" t="str">
        <f>TEXT(tblbills[[#This Row],[Date]],"mmm")</f>
        <v>Oct</v>
      </c>
      <c r="O319" s="1" t="str">
        <f>TEXT(tblbills[[#This Row],[Date]],"yyyy")</f>
        <v>2024</v>
      </c>
      <c r="Q319"/>
      <c r="R319"/>
      <c r="S319"/>
      <c r="T319"/>
      <c r="U319"/>
      <c r="V319"/>
    </row>
    <row r="320" spans="1:22" x14ac:dyDescent="0.3">
      <c r="A320" s="1" t="str">
        <f t="shared" si="4"/>
        <v>DE1319</v>
      </c>
      <c r="B320" s="1" t="s">
        <v>37</v>
      </c>
      <c r="C320" s="1" t="s">
        <v>38</v>
      </c>
      <c r="D320" s="1" t="s">
        <v>49</v>
      </c>
      <c r="E320" s="2">
        <v>45565</v>
      </c>
      <c r="F320" s="1">
        <v>7</v>
      </c>
      <c r="G320" s="5">
        <v>1257</v>
      </c>
      <c r="H320" s="5">
        <v>8799</v>
      </c>
      <c r="I320" s="1" t="s">
        <v>27</v>
      </c>
      <c r="J320" s="1" t="s">
        <v>47</v>
      </c>
      <c r="K320" s="1" t="s">
        <v>16</v>
      </c>
      <c r="L320" s="1">
        <v>0</v>
      </c>
      <c r="M320" s="1" t="s">
        <v>17</v>
      </c>
      <c r="N320" s="1" t="str">
        <f>TEXT(tblbills[[#This Row],[Date]],"mmm")</f>
        <v>Sep</v>
      </c>
      <c r="O320" s="1" t="str">
        <f>TEXT(tblbills[[#This Row],[Date]],"yyyy")</f>
        <v>2024</v>
      </c>
      <c r="Q320"/>
      <c r="R320"/>
      <c r="S320"/>
      <c r="T320"/>
      <c r="U320"/>
      <c r="V320"/>
    </row>
    <row r="321" spans="1:22" x14ac:dyDescent="0.3">
      <c r="A321" s="1" t="str">
        <f t="shared" si="4"/>
        <v>DE1320</v>
      </c>
      <c r="B321" s="1" t="s">
        <v>37</v>
      </c>
      <c r="C321" s="1" t="s">
        <v>38</v>
      </c>
      <c r="D321" s="1" t="s">
        <v>40</v>
      </c>
      <c r="E321" s="2">
        <v>45564</v>
      </c>
      <c r="F321" s="1">
        <v>9</v>
      </c>
      <c r="G321" s="5">
        <v>3262</v>
      </c>
      <c r="H321" s="5">
        <v>29358</v>
      </c>
      <c r="I321" s="1" t="s">
        <v>27</v>
      </c>
      <c r="J321" s="1" t="s">
        <v>59</v>
      </c>
      <c r="K321" s="1" t="s">
        <v>32</v>
      </c>
      <c r="L321" s="1">
        <v>5</v>
      </c>
      <c r="M321" s="1" t="s">
        <v>44</v>
      </c>
      <c r="N321" s="1" t="str">
        <f>TEXT(tblbills[[#This Row],[Date]],"mmm")</f>
        <v>Sep</v>
      </c>
      <c r="O321" s="1" t="str">
        <f>TEXT(tblbills[[#This Row],[Date]],"yyyy")</f>
        <v>2024</v>
      </c>
      <c r="Q321"/>
      <c r="R321"/>
      <c r="S321"/>
      <c r="T321"/>
      <c r="U321"/>
      <c r="V321"/>
    </row>
    <row r="322" spans="1:22" x14ac:dyDescent="0.3">
      <c r="A322" s="1" t="str">
        <f t="shared" si="4"/>
        <v>DE1321</v>
      </c>
      <c r="B322" s="1" t="s">
        <v>37</v>
      </c>
      <c r="C322" s="1" t="s">
        <v>70</v>
      </c>
      <c r="D322" s="1" t="s">
        <v>24</v>
      </c>
      <c r="E322" s="2">
        <v>45563</v>
      </c>
      <c r="F322" s="1">
        <v>19</v>
      </c>
      <c r="G322" s="5">
        <v>3257</v>
      </c>
      <c r="H322" s="5">
        <v>61883</v>
      </c>
      <c r="I322" s="1" t="s">
        <v>27</v>
      </c>
      <c r="J322" s="1" t="s">
        <v>47</v>
      </c>
      <c r="K322" s="1" t="s">
        <v>32</v>
      </c>
      <c r="L322" s="1">
        <v>7</v>
      </c>
      <c r="M322" s="1" t="s">
        <v>33</v>
      </c>
      <c r="N322" s="1" t="str">
        <f>TEXT(tblbills[[#This Row],[Date]],"mmm")</f>
        <v>Sep</v>
      </c>
      <c r="O322" s="1" t="str">
        <f>TEXT(tblbills[[#This Row],[Date]],"yyyy")</f>
        <v>2024</v>
      </c>
      <c r="Q322"/>
      <c r="R322"/>
      <c r="S322"/>
      <c r="T322"/>
      <c r="U322"/>
      <c r="V322"/>
    </row>
    <row r="323" spans="1:22" x14ac:dyDescent="0.3">
      <c r="A323" s="1" t="str">
        <f t="shared" ref="A323:A386" si="5">"DE"&amp;ROW()+999</f>
        <v>DE1322</v>
      </c>
      <c r="B323" s="1" t="s">
        <v>37</v>
      </c>
      <c r="C323" s="1" t="s">
        <v>38</v>
      </c>
      <c r="D323" s="1" t="s">
        <v>57</v>
      </c>
      <c r="E323" s="2">
        <v>45561</v>
      </c>
      <c r="F323" s="1">
        <v>3</v>
      </c>
      <c r="G323" s="5">
        <v>602</v>
      </c>
      <c r="H323" s="5">
        <v>1806</v>
      </c>
      <c r="I323" s="1" t="s">
        <v>27</v>
      </c>
      <c r="J323" s="1" t="s">
        <v>47</v>
      </c>
      <c r="K323" s="1" t="s">
        <v>16</v>
      </c>
      <c r="L323" s="1">
        <v>0</v>
      </c>
      <c r="M323" s="1" t="s">
        <v>33</v>
      </c>
      <c r="N323" s="1" t="str">
        <f>TEXT(tblbills[[#This Row],[Date]],"mmm")</f>
        <v>Sep</v>
      </c>
      <c r="O323" s="1" t="str">
        <f>TEXT(tblbills[[#This Row],[Date]],"yyyy")</f>
        <v>2024</v>
      </c>
      <c r="Q323"/>
      <c r="R323"/>
      <c r="S323"/>
      <c r="T323"/>
      <c r="U323"/>
      <c r="V323"/>
    </row>
    <row r="324" spans="1:22" x14ac:dyDescent="0.3">
      <c r="A324" s="1" t="str">
        <f t="shared" si="5"/>
        <v>DE1323</v>
      </c>
      <c r="B324" s="1" t="s">
        <v>37</v>
      </c>
      <c r="C324" s="1" t="s">
        <v>70</v>
      </c>
      <c r="D324" s="1" t="s">
        <v>56</v>
      </c>
      <c r="E324" s="2">
        <v>45556</v>
      </c>
      <c r="F324" s="1">
        <v>13</v>
      </c>
      <c r="G324" s="5">
        <v>3219</v>
      </c>
      <c r="H324" s="5">
        <v>41847</v>
      </c>
      <c r="I324" s="1" t="s">
        <v>27</v>
      </c>
      <c r="J324" s="1" t="s">
        <v>47</v>
      </c>
      <c r="K324" s="1" t="s">
        <v>28</v>
      </c>
      <c r="L324" s="1">
        <v>5</v>
      </c>
      <c r="M324" s="1" t="s">
        <v>44</v>
      </c>
      <c r="N324" s="1" t="str">
        <f>TEXT(tblbills[[#This Row],[Date]],"mmm")</f>
        <v>Sep</v>
      </c>
      <c r="O324" s="1" t="str">
        <f>TEXT(tblbills[[#This Row],[Date]],"yyyy")</f>
        <v>2024</v>
      </c>
      <c r="Q324"/>
      <c r="R324"/>
      <c r="S324"/>
      <c r="T324"/>
      <c r="U324"/>
      <c r="V324"/>
    </row>
    <row r="325" spans="1:22" x14ac:dyDescent="0.3">
      <c r="A325" s="1" t="str">
        <f t="shared" si="5"/>
        <v>DE1324</v>
      </c>
      <c r="B325" s="1" t="s">
        <v>37</v>
      </c>
      <c r="C325" s="1" t="s">
        <v>38</v>
      </c>
      <c r="D325" s="1" t="s">
        <v>49</v>
      </c>
      <c r="E325" s="2">
        <v>45550</v>
      </c>
      <c r="F325" s="1">
        <v>18</v>
      </c>
      <c r="G325" s="5">
        <v>4186</v>
      </c>
      <c r="H325" s="5">
        <v>75348</v>
      </c>
      <c r="I325" s="1" t="s">
        <v>15</v>
      </c>
      <c r="J325" s="1" t="s">
        <v>26</v>
      </c>
      <c r="K325" s="1" t="s">
        <v>28</v>
      </c>
      <c r="L325" s="1">
        <v>7</v>
      </c>
      <c r="M325" s="1" t="s">
        <v>29</v>
      </c>
      <c r="N325" s="1" t="str">
        <f>TEXT(tblbills[[#This Row],[Date]],"mmm")</f>
        <v>Sep</v>
      </c>
      <c r="O325" s="1" t="str">
        <f>TEXT(tblbills[[#This Row],[Date]],"yyyy")</f>
        <v>2024</v>
      </c>
      <c r="Q325"/>
      <c r="R325"/>
      <c r="S325"/>
      <c r="T325"/>
      <c r="U325"/>
      <c r="V325"/>
    </row>
    <row r="326" spans="1:22" x14ac:dyDescent="0.3">
      <c r="A326" s="1" t="str">
        <f t="shared" si="5"/>
        <v>DE1325</v>
      </c>
      <c r="B326" s="1" t="s">
        <v>37</v>
      </c>
      <c r="C326" s="1" t="s">
        <v>70</v>
      </c>
      <c r="D326" s="1" t="s">
        <v>18</v>
      </c>
      <c r="E326" s="2">
        <v>45549</v>
      </c>
      <c r="F326" s="1">
        <v>8</v>
      </c>
      <c r="G326" s="5">
        <v>2294</v>
      </c>
      <c r="H326" s="5">
        <v>18352</v>
      </c>
      <c r="I326" s="1" t="s">
        <v>15</v>
      </c>
      <c r="J326" s="1" t="s">
        <v>39</v>
      </c>
      <c r="K326" s="1" t="s">
        <v>32</v>
      </c>
      <c r="L326" s="1">
        <v>0</v>
      </c>
      <c r="M326" s="1" t="s">
        <v>29</v>
      </c>
      <c r="N326" s="1" t="str">
        <f>TEXT(tblbills[[#This Row],[Date]],"mmm")</f>
        <v>Sep</v>
      </c>
      <c r="O326" s="1" t="str">
        <f>TEXT(tblbills[[#This Row],[Date]],"yyyy")</f>
        <v>2024</v>
      </c>
      <c r="Q326"/>
      <c r="R326"/>
      <c r="S326"/>
      <c r="T326"/>
      <c r="U326"/>
      <c r="V326"/>
    </row>
    <row r="327" spans="1:22" x14ac:dyDescent="0.3">
      <c r="A327" s="1" t="str">
        <f t="shared" si="5"/>
        <v>DE1326</v>
      </c>
      <c r="B327" s="1" t="s">
        <v>37</v>
      </c>
      <c r="C327" s="1" t="s">
        <v>38</v>
      </c>
      <c r="D327" s="1" t="s">
        <v>77</v>
      </c>
      <c r="E327" s="2">
        <v>45541</v>
      </c>
      <c r="F327" s="1">
        <v>19</v>
      </c>
      <c r="G327" s="5">
        <v>1020</v>
      </c>
      <c r="H327" s="5">
        <v>19380</v>
      </c>
      <c r="I327" s="1" t="s">
        <v>27</v>
      </c>
      <c r="J327" s="1" t="s">
        <v>43</v>
      </c>
      <c r="K327" s="1" t="s">
        <v>28</v>
      </c>
      <c r="L327" s="1">
        <v>2</v>
      </c>
      <c r="M327" s="1" t="s">
        <v>33</v>
      </c>
      <c r="N327" s="1" t="str">
        <f>TEXT(tblbills[[#This Row],[Date]],"mmm")</f>
        <v>Sep</v>
      </c>
      <c r="O327" s="1" t="str">
        <f>TEXT(tblbills[[#This Row],[Date]],"yyyy")</f>
        <v>2024</v>
      </c>
      <c r="Q327"/>
      <c r="R327"/>
      <c r="S327"/>
      <c r="T327"/>
      <c r="U327"/>
      <c r="V327"/>
    </row>
    <row r="328" spans="1:22" x14ac:dyDescent="0.3">
      <c r="A328" s="1" t="str">
        <f t="shared" si="5"/>
        <v>DE1327</v>
      </c>
      <c r="B328" s="1" t="s">
        <v>37</v>
      </c>
      <c r="C328" s="1" t="s">
        <v>58</v>
      </c>
      <c r="D328" s="1" t="s">
        <v>79</v>
      </c>
      <c r="E328" s="2">
        <v>45540</v>
      </c>
      <c r="F328" s="1">
        <v>20</v>
      </c>
      <c r="G328" s="5">
        <v>4294</v>
      </c>
      <c r="H328" s="5">
        <v>85880</v>
      </c>
      <c r="I328" s="1" t="s">
        <v>22</v>
      </c>
      <c r="J328" s="1" t="s">
        <v>26</v>
      </c>
      <c r="K328" s="1" t="s">
        <v>28</v>
      </c>
      <c r="L328" s="1">
        <v>2</v>
      </c>
      <c r="M328" s="1" t="s">
        <v>29</v>
      </c>
      <c r="N328" s="1" t="str">
        <f>TEXT(tblbills[[#This Row],[Date]],"mmm")</f>
        <v>Sep</v>
      </c>
      <c r="O328" s="1" t="str">
        <f>TEXT(tblbills[[#This Row],[Date]],"yyyy")</f>
        <v>2024</v>
      </c>
      <c r="Q328"/>
      <c r="R328"/>
      <c r="S328"/>
      <c r="T328"/>
      <c r="U328"/>
      <c r="V328"/>
    </row>
    <row r="329" spans="1:22" x14ac:dyDescent="0.3">
      <c r="A329" s="1" t="str">
        <f t="shared" si="5"/>
        <v>DE1328</v>
      </c>
      <c r="B329" s="1" t="s">
        <v>37</v>
      </c>
      <c r="C329" s="1" t="s">
        <v>73</v>
      </c>
      <c r="D329" s="1" t="s">
        <v>67</v>
      </c>
      <c r="E329" s="2">
        <v>45539</v>
      </c>
      <c r="F329" s="1">
        <v>10</v>
      </c>
      <c r="G329" s="5">
        <v>1269</v>
      </c>
      <c r="H329" s="5">
        <v>12690</v>
      </c>
      <c r="I329" s="1" t="s">
        <v>27</v>
      </c>
      <c r="J329" s="1" t="s">
        <v>59</v>
      </c>
      <c r="K329" s="1" t="s">
        <v>28</v>
      </c>
      <c r="L329" s="1">
        <v>10</v>
      </c>
      <c r="M329" s="1" t="s">
        <v>29</v>
      </c>
      <c r="N329" s="1" t="str">
        <f>TEXT(tblbills[[#This Row],[Date]],"mmm")</f>
        <v>Sep</v>
      </c>
      <c r="O329" s="1" t="str">
        <f>TEXT(tblbills[[#This Row],[Date]],"yyyy")</f>
        <v>2024</v>
      </c>
      <c r="Q329"/>
      <c r="R329"/>
      <c r="S329"/>
      <c r="T329"/>
      <c r="U329"/>
      <c r="V329"/>
    </row>
    <row r="330" spans="1:22" x14ac:dyDescent="0.3">
      <c r="A330" s="1" t="str">
        <f t="shared" si="5"/>
        <v>DE1329</v>
      </c>
      <c r="B330" s="1" t="s">
        <v>37</v>
      </c>
      <c r="C330" s="1" t="s">
        <v>73</v>
      </c>
      <c r="D330" s="1" t="s">
        <v>36</v>
      </c>
      <c r="E330" s="2">
        <v>45535</v>
      </c>
      <c r="F330" s="1">
        <v>18</v>
      </c>
      <c r="G330" s="5">
        <v>4072</v>
      </c>
      <c r="H330" s="5">
        <v>73296</v>
      </c>
      <c r="I330" s="1" t="s">
        <v>22</v>
      </c>
      <c r="J330" s="1" t="s">
        <v>21</v>
      </c>
      <c r="K330" s="1" t="s">
        <v>32</v>
      </c>
      <c r="L330" s="1">
        <v>0</v>
      </c>
      <c r="M330" s="1" t="s">
        <v>33</v>
      </c>
      <c r="N330" s="1" t="str">
        <f>TEXT(tblbills[[#This Row],[Date]],"mmm")</f>
        <v>Aug</v>
      </c>
      <c r="O330" s="1" t="str">
        <f>TEXT(tblbills[[#This Row],[Date]],"yyyy")</f>
        <v>2024</v>
      </c>
      <c r="Q330"/>
      <c r="R330"/>
      <c r="S330"/>
      <c r="T330"/>
      <c r="U330"/>
      <c r="V330"/>
    </row>
    <row r="331" spans="1:22" x14ac:dyDescent="0.3">
      <c r="A331" s="1" t="str">
        <f t="shared" si="5"/>
        <v>DE1330</v>
      </c>
      <c r="B331" s="1" t="s">
        <v>37</v>
      </c>
      <c r="C331" s="1" t="s">
        <v>38</v>
      </c>
      <c r="D331" s="1" t="s">
        <v>67</v>
      </c>
      <c r="E331" s="2">
        <v>45534</v>
      </c>
      <c r="F331" s="1">
        <v>16</v>
      </c>
      <c r="G331" s="5">
        <v>2844</v>
      </c>
      <c r="H331" s="5">
        <v>45504</v>
      </c>
      <c r="I331" s="1" t="s">
        <v>15</v>
      </c>
      <c r="J331" s="1" t="s">
        <v>14</v>
      </c>
      <c r="K331" s="1" t="s">
        <v>32</v>
      </c>
      <c r="L331" s="1">
        <v>0</v>
      </c>
      <c r="M331" s="1" t="s">
        <v>23</v>
      </c>
      <c r="N331" s="1" t="str">
        <f>TEXT(tblbills[[#This Row],[Date]],"mmm")</f>
        <v>Aug</v>
      </c>
      <c r="O331" s="1" t="str">
        <f>TEXT(tblbills[[#This Row],[Date]],"yyyy")</f>
        <v>2024</v>
      </c>
      <c r="Q331"/>
      <c r="R331"/>
      <c r="S331"/>
      <c r="T331"/>
      <c r="U331"/>
      <c r="V331"/>
    </row>
    <row r="332" spans="1:22" x14ac:dyDescent="0.3">
      <c r="A332" s="1" t="str">
        <f t="shared" si="5"/>
        <v>DE1331</v>
      </c>
      <c r="B332" s="1" t="s">
        <v>37</v>
      </c>
      <c r="C332" s="1" t="s">
        <v>58</v>
      </c>
      <c r="D332" s="1" t="s">
        <v>30</v>
      </c>
      <c r="E332" s="2">
        <v>45531</v>
      </c>
      <c r="F332" s="1">
        <v>19</v>
      </c>
      <c r="G332" s="5">
        <v>1383</v>
      </c>
      <c r="H332" s="5">
        <v>26277</v>
      </c>
      <c r="I332" s="1" t="s">
        <v>22</v>
      </c>
      <c r="J332" s="1" t="s">
        <v>14</v>
      </c>
      <c r="K332" s="1" t="s">
        <v>16</v>
      </c>
      <c r="L332" s="1">
        <v>0</v>
      </c>
      <c r="M332" s="1" t="s">
        <v>29</v>
      </c>
      <c r="N332" s="1" t="str">
        <f>TEXT(tblbills[[#This Row],[Date]],"mmm")</f>
        <v>Aug</v>
      </c>
      <c r="O332" s="1" t="str">
        <f>TEXT(tblbills[[#This Row],[Date]],"yyyy")</f>
        <v>2024</v>
      </c>
      <c r="Q332"/>
      <c r="R332"/>
      <c r="S332"/>
      <c r="T332"/>
      <c r="U332"/>
      <c r="V332"/>
    </row>
    <row r="333" spans="1:22" x14ac:dyDescent="0.3">
      <c r="A333" s="1" t="str">
        <f t="shared" si="5"/>
        <v>DE1332</v>
      </c>
      <c r="B333" s="1" t="s">
        <v>37</v>
      </c>
      <c r="C333" s="1" t="s">
        <v>61</v>
      </c>
      <c r="D333" s="1" t="s">
        <v>40</v>
      </c>
      <c r="E333" s="2">
        <v>45529</v>
      </c>
      <c r="F333" s="1">
        <v>3</v>
      </c>
      <c r="G333" s="5">
        <v>1845</v>
      </c>
      <c r="H333" s="5">
        <v>5535</v>
      </c>
      <c r="I333" s="1" t="s">
        <v>15</v>
      </c>
      <c r="J333" s="1" t="s">
        <v>47</v>
      </c>
      <c r="K333" s="1" t="s">
        <v>32</v>
      </c>
      <c r="L333" s="1">
        <v>5</v>
      </c>
      <c r="M333" s="1" t="s">
        <v>29</v>
      </c>
      <c r="N333" s="1" t="str">
        <f>TEXT(tblbills[[#This Row],[Date]],"mmm")</f>
        <v>Aug</v>
      </c>
      <c r="O333" s="1" t="str">
        <f>TEXT(tblbills[[#This Row],[Date]],"yyyy")</f>
        <v>2024</v>
      </c>
      <c r="Q333"/>
      <c r="R333"/>
      <c r="S333"/>
      <c r="T333"/>
      <c r="U333"/>
      <c r="V333"/>
    </row>
    <row r="334" spans="1:22" x14ac:dyDescent="0.3">
      <c r="A334" s="1" t="str">
        <f t="shared" si="5"/>
        <v>DE1333</v>
      </c>
      <c r="B334" s="1" t="s">
        <v>37</v>
      </c>
      <c r="C334" s="1" t="s">
        <v>38</v>
      </c>
      <c r="D334" s="1" t="s">
        <v>74</v>
      </c>
      <c r="E334" s="2">
        <v>45526</v>
      </c>
      <c r="F334" s="1">
        <v>8</v>
      </c>
      <c r="G334" s="5">
        <v>3778</v>
      </c>
      <c r="H334" s="5">
        <v>30224</v>
      </c>
      <c r="I334" s="1" t="s">
        <v>22</v>
      </c>
      <c r="J334" s="1" t="s">
        <v>39</v>
      </c>
      <c r="K334" s="1" t="s">
        <v>32</v>
      </c>
      <c r="L334" s="1">
        <v>10</v>
      </c>
      <c r="M334" s="1" t="s">
        <v>23</v>
      </c>
      <c r="N334" s="1" t="str">
        <f>TEXT(tblbills[[#This Row],[Date]],"mmm")</f>
        <v>Aug</v>
      </c>
      <c r="O334" s="1" t="str">
        <f>TEXT(tblbills[[#This Row],[Date]],"yyyy")</f>
        <v>2024</v>
      </c>
      <c r="Q334"/>
      <c r="R334"/>
      <c r="S334"/>
      <c r="T334"/>
      <c r="U334"/>
      <c r="V334"/>
    </row>
    <row r="335" spans="1:22" x14ac:dyDescent="0.3">
      <c r="A335" s="1" t="str">
        <f t="shared" si="5"/>
        <v>DE1334</v>
      </c>
      <c r="B335" s="1" t="s">
        <v>37</v>
      </c>
      <c r="C335" s="1" t="s">
        <v>73</v>
      </c>
      <c r="D335" s="1" t="s">
        <v>45</v>
      </c>
      <c r="E335" s="2">
        <v>45520</v>
      </c>
      <c r="F335" s="1">
        <v>4</v>
      </c>
      <c r="G335" s="5">
        <v>1961</v>
      </c>
      <c r="H335" s="5">
        <v>7844</v>
      </c>
      <c r="I335" s="1" t="s">
        <v>15</v>
      </c>
      <c r="J335" s="1" t="s">
        <v>59</v>
      </c>
      <c r="K335" s="1" t="s">
        <v>28</v>
      </c>
      <c r="L335" s="1">
        <v>0</v>
      </c>
      <c r="M335" s="1" t="s">
        <v>17</v>
      </c>
      <c r="N335" s="1" t="str">
        <f>TEXT(tblbills[[#This Row],[Date]],"mmm")</f>
        <v>Aug</v>
      </c>
      <c r="O335" s="1" t="str">
        <f>TEXT(tblbills[[#This Row],[Date]],"yyyy")</f>
        <v>2024</v>
      </c>
      <c r="Q335"/>
      <c r="R335"/>
      <c r="S335"/>
      <c r="T335"/>
      <c r="U335"/>
      <c r="V335"/>
    </row>
    <row r="336" spans="1:22" x14ac:dyDescent="0.3">
      <c r="A336" s="1" t="str">
        <f t="shared" si="5"/>
        <v>DE1335</v>
      </c>
      <c r="B336" s="1" t="s">
        <v>37</v>
      </c>
      <c r="C336" s="1" t="s">
        <v>61</v>
      </c>
      <c r="D336" s="1" t="s">
        <v>77</v>
      </c>
      <c r="E336" s="2">
        <v>45519</v>
      </c>
      <c r="F336" s="1">
        <v>8</v>
      </c>
      <c r="G336" s="5">
        <v>1751</v>
      </c>
      <c r="H336" s="5">
        <v>14008</v>
      </c>
      <c r="I336" s="1" t="s">
        <v>15</v>
      </c>
      <c r="J336" s="1" t="s">
        <v>47</v>
      </c>
      <c r="K336" s="1" t="s">
        <v>16</v>
      </c>
      <c r="L336" s="1">
        <v>10</v>
      </c>
      <c r="M336" s="1" t="s">
        <v>33</v>
      </c>
      <c r="N336" s="1" t="str">
        <f>TEXT(tblbills[[#This Row],[Date]],"mmm")</f>
        <v>Aug</v>
      </c>
      <c r="O336" s="1" t="str">
        <f>TEXT(tblbills[[#This Row],[Date]],"yyyy")</f>
        <v>2024</v>
      </c>
      <c r="Q336"/>
      <c r="R336"/>
      <c r="S336"/>
      <c r="T336"/>
      <c r="U336"/>
      <c r="V336"/>
    </row>
    <row r="337" spans="1:22" x14ac:dyDescent="0.3">
      <c r="A337" s="1" t="str">
        <f t="shared" si="5"/>
        <v>DE1336</v>
      </c>
      <c r="B337" s="1" t="s">
        <v>37</v>
      </c>
      <c r="C337" s="1" t="s">
        <v>38</v>
      </c>
      <c r="D337" s="1" t="s">
        <v>49</v>
      </c>
      <c r="E337" s="2">
        <v>45515</v>
      </c>
      <c r="F337" s="1">
        <v>10</v>
      </c>
      <c r="G337" s="5">
        <v>3990</v>
      </c>
      <c r="H337" s="5">
        <v>39900</v>
      </c>
      <c r="I337" s="1" t="s">
        <v>22</v>
      </c>
      <c r="J337" s="1" t="s">
        <v>43</v>
      </c>
      <c r="K337" s="1" t="s">
        <v>28</v>
      </c>
      <c r="L337" s="1">
        <v>0</v>
      </c>
      <c r="M337" s="1" t="s">
        <v>23</v>
      </c>
      <c r="N337" s="1" t="str">
        <f>TEXT(tblbills[[#This Row],[Date]],"mmm")</f>
        <v>Aug</v>
      </c>
      <c r="O337" s="1" t="str">
        <f>TEXT(tblbills[[#This Row],[Date]],"yyyy")</f>
        <v>2024</v>
      </c>
      <c r="Q337"/>
      <c r="R337"/>
      <c r="S337"/>
      <c r="T337"/>
      <c r="U337"/>
      <c r="V337"/>
    </row>
    <row r="338" spans="1:22" x14ac:dyDescent="0.3">
      <c r="A338" s="1" t="str">
        <f t="shared" si="5"/>
        <v>DE1337</v>
      </c>
      <c r="B338" s="1" t="s">
        <v>37</v>
      </c>
      <c r="C338" s="1" t="s">
        <v>38</v>
      </c>
      <c r="D338" s="1" t="s">
        <v>51</v>
      </c>
      <c r="E338" s="2">
        <v>45512</v>
      </c>
      <c r="F338" s="1">
        <v>5</v>
      </c>
      <c r="G338" s="5">
        <v>1439</v>
      </c>
      <c r="H338" s="5">
        <v>7195</v>
      </c>
      <c r="I338" s="1" t="s">
        <v>22</v>
      </c>
      <c r="J338" s="1" t="s">
        <v>47</v>
      </c>
      <c r="K338" s="1" t="s">
        <v>28</v>
      </c>
      <c r="L338" s="1">
        <v>0</v>
      </c>
      <c r="M338" s="1" t="s">
        <v>23</v>
      </c>
      <c r="N338" s="1" t="str">
        <f>TEXT(tblbills[[#This Row],[Date]],"mmm")</f>
        <v>Aug</v>
      </c>
      <c r="O338" s="1" t="str">
        <f>TEXT(tblbills[[#This Row],[Date]],"yyyy")</f>
        <v>2024</v>
      </c>
      <c r="Q338"/>
      <c r="R338"/>
      <c r="S338"/>
      <c r="T338"/>
      <c r="U338"/>
      <c r="V338"/>
    </row>
    <row r="339" spans="1:22" x14ac:dyDescent="0.3">
      <c r="A339" s="1" t="str">
        <f t="shared" si="5"/>
        <v>DE1338</v>
      </c>
      <c r="B339" s="1" t="s">
        <v>37</v>
      </c>
      <c r="C339" s="1" t="s">
        <v>58</v>
      </c>
      <c r="D339" s="1" t="s">
        <v>18</v>
      </c>
      <c r="E339" s="2">
        <v>45509</v>
      </c>
      <c r="F339" s="1">
        <v>13</v>
      </c>
      <c r="G339" s="5">
        <v>4452</v>
      </c>
      <c r="H339" s="5">
        <v>57876</v>
      </c>
      <c r="I339" s="1" t="s">
        <v>15</v>
      </c>
      <c r="J339" s="1" t="s">
        <v>59</v>
      </c>
      <c r="K339" s="1" t="s">
        <v>32</v>
      </c>
      <c r="L339" s="1">
        <v>2</v>
      </c>
      <c r="M339" s="1" t="s">
        <v>17</v>
      </c>
      <c r="N339" s="1" t="str">
        <f>TEXT(tblbills[[#This Row],[Date]],"mmm")</f>
        <v>Aug</v>
      </c>
      <c r="O339" s="1" t="str">
        <f>TEXT(tblbills[[#This Row],[Date]],"yyyy")</f>
        <v>2024</v>
      </c>
      <c r="Q339"/>
      <c r="R339"/>
      <c r="S339"/>
      <c r="T339"/>
      <c r="U339"/>
      <c r="V339"/>
    </row>
    <row r="340" spans="1:22" x14ac:dyDescent="0.3">
      <c r="A340" s="1" t="str">
        <f t="shared" si="5"/>
        <v>DE1339</v>
      </c>
      <c r="B340" s="1" t="s">
        <v>37</v>
      </c>
      <c r="C340" s="1" t="s">
        <v>61</v>
      </c>
      <c r="D340" s="1" t="s">
        <v>56</v>
      </c>
      <c r="E340" s="2">
        <v>45506</v>
      </c>
      <c r="F340" s="1">
        <v>13</v>
      </c>
      <c r="G340" s="5">
        <v>223</v>
      </c>
      <c r="H340" s="5">
        <v>2899</v>
      </c>
      <c r="I340" s="1" t="s">
        <v>27</v>
      </c>
      <c r="J340" s="1" t="s">
        <v>43</v>
      </c>
      <c r="K340" s="1" t="s">
        <v>16</v>
      </c>
      <c r="L340" s="1">
        <v>0</v>
      </c>
      <c r="M340" s="1" t="s">
        <v>33</v>
      </c>
      <c r="N340" s="1" t="str">
        <f>TEXT(tblbills[[#This Row],[Date]],"mmm")</f>
        <v>Aug</v>
      </c>
      <c r="O340" s="1" t="str">
        <f>TEXT(tblbills[[#This Row],[Date]],"yyyy")</f>
        <v>2024</v>
      </c>
      <c r="Q340"/>
      <c r="R340"/>
      <c r="S340"/>
      <c r="T340"/>
      <c r="U340"/>
      <c r="V340"/>
    </row>
    <row r="341" spans="1:22" x14ac:dyDescent="0.3">
      <c r="A341" s="1" t="str">
        <f t="shared" si="5"/>
        <v>DE1340</v>
      </c>
      <c r="B341" s="1" t="s">
        <v>37</v>
      </c>
      <c r="C341" s="1" t="s">
        <v>38</v>
      </c>
      <c r="D341" s="1" t="s">
        <v>51</v>
      </c>
      <c r="E341" s="2">
        <v>45504</v>
      </c>
      <c r="F341" s="1">
        <v>1</v>
      </c>
      <c r="G341" s="5">
        <v>4400</v>
      </c>
      <c r="H341" s="5">
        <v>4400</v>
      </c>
      <c r="I341" s="1" t="s">
        <v>27</v>
      </c>
      <c r="J341" s="1" t="s">
        <v>47</v>
      </c>
      <c r="K341" s="1" t="s">
        <v>28</v>
      </c>
      <c r="L341" s="1">
        <v>7</v>
      </c>
      <c r="M341" s="1" t="s">
        <v>33</v>
      </c>
      <c r="N341" s="1" t="str">
        <f>TEXT(tblbills[[#This Row],[Date]],"mmm")</f>
        <v>Jul</v>
      </c>
      <c r="O341" s="1" t="str">
        <f>TEXT(tblbills[[#This Row],[Date]],"yyyy")</f>
        <v>2024</v>
      </c>
      <c r="Q341"/>
      <c r="R341"/>
      <c r="S341"/>
      <c r="T341"/>
      <c r="U341"/>
      <c r="V341"/>
    </row>
    <row r="342" spans="1:22" x14ac:dyDescent="0.3">
      <c r="A342" s="1" t="str">
        <f t="shared" si="5"/>
        <v>DE1341</v>
      </c>
      <c r="B342" s="1" t="s">
        <v>37</v>
      </c>
      <c r="C342" s="1" t="s">
        <v>58</v>
      </c>
      <c r="D342" s="1" t="s">
        <v>79</v>
      </c>
      <c r="E342" s="2">
        <v>45497</v>
      </c>
      <c r="F342" s="1">
        <v>6</v>
      </c>
      <c r="G342" s="5">
        <v>1171</v>
      </c>
      <c r="H342" s="5">
        <v>7026</v>
      </c>
      <c r="I342" s="1" t="s">
        <v>22</v>
      </c>
      <c r="J342" s="1" t="s">
        <v>14</v>
      </c>
      <c r="K342" s="1" t="s">
        <v>32</v>
      </c>
      <c r="L342" s="1">
        <v>5</v>
      </c>
      <c r="M342" s="1" t="s">
        <v>33</v>
      </c>
      <c r="N342" s="1" t="str">
        <f>TEXT(tblbills[[#This Row],[Date]],"mmm")</f>
        <v>Jul</v>
      </c>
      <c r="O342" s="1" t="str">
        <f>TEXT(tblbills[[#This Row],[Date]],"yyyy")</f>
        <v>2024</v>
      </c>
      <c r="Q342"/>
      <c r="R342"/>
      <c r="S342"/>
      <c r="T342"/>
      <c r="U342"/>
      <c r="V342"/>
    </row>
    <row r="343" spans="1:22" x14ac:dyDescent="0.3">
      <c r="A343" s="1" t="str">
        <f t="shared" si="5"/>
        <v>DE1342</v>
      </c>
      <c r="B343" s="1" t="s">
        <v>37</v>
      </c>
      <c r="C343" s="1" t="s">
        <v>61</v>
      </c>
      <c r="D343" s="1" t="s">
        <v>79</v>
      </c>
      <c r="E343" s="2">
        <v>45496</v>
      </c>
      <c r="F343" s="1">
        <v>10</v>
      </c>
      <c r="G343" s="5">
        <v>1176</v>
      </c>
      <c r="H343" s="5">
        <v>11760</v>
      </c>
      <c r="I343" s="1" t="s">
        <v>22</v>
      </c>
      <c r="J343" s="1" t="s">
        <v>21</v>
      </c>
      <c r="K343" s="1" t="s">
        <v>28</v>
      </c>
      <c r="L343" s="1">
        <v>0</v>
      </c>
      <c r="M343" s="1" t="s">
        <v>44</v>
      </c>
      <c r="N343" s="1" t="str">
        <f>TEXT(tblbills[[#This Row],[Date]],"mmm")</f>
        <v>Jul</v>
      </c>
      <c r="O343" s="1" t="str">
        <f>TEXT(tblbills[[#This Row],[Date]],"yyyy")</f>
        <v>2024</v>
      </c>
      <c r="Q343"/>
      <c r="R343"/>
      <c r="S343"/>
      <c r="T343"/>
      <c r="U343"/>
      <c r="V343"/>
    </row>
    <row r="344" spans="1:22" x14ac:dyDescent="0.3">
      <c r="A344" s="1" t="str">
        <f t="shared" si="5"/>
        <v>DE1343</v>
      </c>
      <c r="B344" s="1" t="s">
        <v>37</v>
      </c>
      <c r="C344" s="1" t="s">
        <v>38</v>
      </c>
      <c r="D344" s="1" t="s">
        <v>62</v>
      </c>
      <c r="E344" s="2">
        <v>45496</v>
      </c>
      <c r="F344" s="1">
        <v>19</v>
      </c>
      <c r="G344" s="5">
        <v>2109</v>
      </c>
      <c r="H344" s="5">
        <v>40071</v>
      </c>
      <c r="I344" s="1" t="s">
        <v>22</v>
      </c>
      <c r="J344" s="1" t="s">
        <v>59</v>
      </c>
      <c r="K344" s="1" t="s">
        <v>28</v>
      </c>
      <c r="L344" s="1">
        <v>10</v>
      </c>
      <c r="M344" s="1" t="s">
        <v>44</v>
      </c>
      <c r="N344" s="1" t="str">
        <f>TEXT(tblbills[[#This Row],[Date]],"mmm")</f>
        <v>Jul</v>
      </c>
      <c r="O344" s="1" t="str">
        <f>TEXT(tblbills[[#This Row],[Date]],"yyyy")</f>
        <v>2024</v>
      </c>
      <c r="Q344"/>
      <c r="R344"/>
      <c r="S344"/>
      <c r="T344"/>
      <c r="U344"/>
      <c r="V344"/>
    </row>
    <row r="345" spans="1:22" x14ac:dyDescent="0.3">
      <c r="A345" s="1" t="str">
        <f t="shared" si="5"/>
        <v>DE1344</v>
      </c>
      <c r="B345" s="1" t="s">
        <v>37</v>
      </c>
      <c r="C345" s="1" t="s">
        <v>58</v>
      </c>
      <c r="D345" s="1" t="s">
        <v>57</v>
      </c>
      <c r="E345" s="2">
        <v>45496</v>
      </c>
      <c r="F345" s="1">
        <v>10</v>
      </c>
      <c r="G345" s="5">
        <v>2751</v>
      </c>
      <c r="H345" s="5">
        <v>27510</v>
      </c>
      <c r="I345" s="1" t="s">
        <v>22</v>
      </c>
      <c r="J345" s="1" t="s">
        <v>26</v>
      </c>
      <c r="K345" s="1" t="s">
        <v>32</v>
      </c>
      <c r="L345" s="1">
        <v>2</v>
      </c>
      <c r="M345" s="1" t="s">
        <v>23</v>
      </c>
      <c r="N345" s="1" t="str">
        <f>TEXT(tblbills[[#This Row],[Date]],"mmm")</f>
        <v>Jul</v>
      </c>
      <c r="O345" s="1" t="str">
        <f>TEXT(tblbills[[#This Row],[Date]],"yyyy")</f>
        <v>2024</v>
      </c>
      <c r="Q345"/>
      <c r="R345"/>
      <c r="S345"/>
      <c r="T345"/>
      <c r="U345"/>
      <c r="V345"/>
    </row>
    <row r="346" spans="1:22" x14ac:dyDescent="0.3">
      <c r="A346" s="1" t="str">
        <f t="shared" si="5"/>
        <v>DE1345</v>
      </c>
      <c r="B346" s="1" t="s">
        <v>37</v>
      </c>
      <c r="C346" s="1" t="s">
        <v>73</v>
      </c>
      <c r="D346" s="1" t="s">
        <v>57</v>
      </c>
      <c r="E346" s="2">
        <v>45490</v>
      </c>
      <c r="F346" s="1">
        <v>1</v>
      </c>
      <c r="G346" s="5">
        <v>2027</v>
      </c>
      <c r="H346" s="5">
        <v>2027</v>
      </c>
      <c r="I346" s="1" t="s">
        <v>27</v>
      </c>
      <c r="J346" s="1" t="s">
        <v>47</v>
      </c>
      <c r="K346" s="1" t="s">
        <v>32</v>
      </c>
      <c r="L346" s="1">
        <v>2</v>
      </c>
      <c r="M346" s="1" t="s">
        <v>33</v>
      </c>
      <c r="N346" s="1" t="str">
        <f>TEXT(tblbills[[#This Row],[Date]],"mmm")</f>
        <v>Jul</v>
      </c>
      <c r="O346" s="1" t="str">
        <f>TEXT(tblbills[[#This Row],[Date]],"yyyy")</f>
        <v>2024</v>
      </c>
      <c r="Q346"/>
      <c r="R346"/>
      <c r="S346"/>
      <c r="T346"/>
      <c r="U346"/>
      <c r="V346"/>
    </row>
    <row r="347" spans="1:22" x14ac:dyDescent="0.3">
      <c r="A347" s="1" t="str">
        <f t="shared" si="5"/>
        <v>DE1346</v>
      </c>
      <c r="B347" s="1" t="s">
        <v>37</v>
      </c>
      <c r="C347" s="1" t="s">
        <v>70</v>
      </c>
      <c r="D347" s="1" t="s">
        <v>62</v>
      </c>
      <c r="E347" s="2">
        <v>45483</v>
      </c>
      <c r="F347" s="1">
        <v>5</v>
      </c>
      <c r="G347" s="5">
        <v>1389</v>
      </c>
      <c r="H347" s="5">
        <v>6945</v>
      </c>
      <c r="I347" s="1" t="s">
        <v>15</v>
      </c>
      <c r="J347" s="1" t="s">
        <v>59</v>
      </c>
      <c r="K347" s="1" t="s">
        <v>16</v>
      </c>
      <c r="L347" s="1">
        <v>10</v>
      </c>
      <c r="M347" s="1" t="s">
        <v>44</v>
      </c>
      <c r="N347" s="1" t="str">
        <f>TEXT(tblbills[[#This Row],[Date]],"mmm")</f>
        <v>Jul</v>
      </c>
      <c r="O347" s="1" t="str">
        <f>TEXT(tblbills[[#This Row],[Date]],"yyyy")</f>
        <v>2024</v>
      </c>
      <c r="Q347"/>
      <c r="R347"/>
      <c r="S347"/>
      <c r="T347"/>
      <c r="U347"/>
      <c r="V347"/>
    </row>
    <row r="348" spans="1:22" x14ac:dyDescent="0.3">
      <c r="A348" s="1" t="str">
        <f t="shared" si="5"/>
        <v>DE1347</v>
      </c>
      <c r="B348" s="1" t="s">
        <v>37</v>
      </c>
      <c r="C348" s="1" t="s">
        <v>70</v>
      </c>
      <c r="D348" s="1" t="s">
        <v>34</v>
      </c>
      <c r="E348" s="2">
        <v>45479</v>
      </c>
      <c r="F348" s="1">
        <v>4</v>
      </c>
      <c r="G348" s="5">
        <v>2455</v>
      </c>
      <c r="H348" s="5">
        <v>9820</v>
      </c>
      <c r="I348" s="1" t="s">
        <v>27</v>
      </c>
      <c r="J348" s="1" t="s">
        <v>26</v>
      </c>
      <c r="K348" s="1" t="s">
        <v>32</v>
      </c>
      <c r="L348" s="1">
        <v>5</v>
      </c>
      <c r="M348" s="1" t="s">
        <v>17</v>
      </c>
      <c r="N348" s="1" t="str">
        <f>TEXT(tblbills[[#This Row],[Date]],"mmm")</f>
        <v>Jul</v>
      </c>
      <c r="O348" s="1" t="str">
        <f>TEXT(tblbills[[#This Row],[Date]],"yyyy")</f>
        <v>2024</v>
      </c>
      <c r="Q348"/>
      <c r="R348"/>
      <c r="S348"/>
      <c r="T348"/>
      <c r="U348"/>
      <c r="V348"/>
    </row>
    <row r="349" spans="1:22" x14ac:dyDescent="0.3">
      <c r="A349" s="1" t="str">
        <f t="shared" si="5"/>
        <v>DE1348</v>
      </c>
      <c r="B349" s="1" t="s">
        <v>37</v>
      </c>
      <c r="C349" s="1" t="s">
        <v>70</v>
      </c>
      <c r="D349" s="1" t="s">
        <v>11</v>
      </c>
      <c r="E349" s="2">
        <v>45479</v>
      </c>
      <c r="F349" s="1">
        <v>19</v>
      </c>
      <c r="G349" s="5">
        <v>3403</v>
      </c>
      <c r="H349" s="5">
        <v>64657</v>
      </c>
      <c r="I349" s="1" t="s">
        <v>22</v>
      </c>
      <c r="J349" s="1" t="s">
        <v>14</v>
      </c>
      <c r="K349" s="1" t="s">
        <v>28</v>
      </c>
      <c r="L349" s="1">
        <v>7</v>
      </c>
      <c r="M349" s="1" t="s">
        <v>33</v>
      </c>
      <c r="N349" s="1" t="str">
        <f>TEXT(tblbills[[#This Row],[Date]],"mmm")</f>
        <v>Jul</v>
      </c>
      <c r="O349" s="1" t="str">
        <f>TEXT(tblbills[[#This Row],[Date]],"yyyy")</f>
        <v>2024</v>
      </c>
      <c r="Q349"/>
      <c r="R349"/>
      <c r="S349"/>
      <c r="T349"/>
      <c r="U349"/>
      <c r="V349"/>
    </row>
    <row r="350" spans="1:22" x14ac:dyDescent="0.3">
      <c r="A350" s="1" t="str">
        <f t="shared" si="5"/>
        <v>DE1349</v>
      </c>
      <c r="B350" s="1" t="s">
        <v>37</v>
      </c>
      <c r="C350" s="1" t="s">
        <v>58</v>
      </c>
      <c r="D350" s="1" t="s">
        <v>34</v>
      </c>
      <c r="E350" s="2">
        <v>45477</v>
      </c>
      <c r="F350" s="1">
        <v>18</v>
      </c>
      <c r="G350" s="5">
        <v>180</v>
      </c>
      <c r="H350" s="5">
        <v>3240</v>
      </c>
      <c r="I350" s="1" t="s">
        <v>22</v>
      </c>
      <c r="J350" s="1" t="s">
        <v>14</v>
      </c>
      <c r="K350" s="1" t="s">
        <v>16</v>
      </c>
      <c r="L350" s="1">
        <v>2</v>
      </c>
      <c r="M350" s="1" t="s">
        <v>23</v>
      </c>
      <c r="N350" s="1" t="str">
        <f>TEXT(tblbills[[#This Row],[Date]],"mmm")</f>
        <v>Jul</v>
      </c>
      <c r="O350" s="1" t="str">
        <f>TEXT(tblbills[[#This Row],[Date]],"yyyy")</f>
        <v>2024</v>
      </c>
      <c r="Q350"/>
      <c r="R350"/>
      <c r="S350"/>
      <c r="T350"/>
      <c r="U350"/>
      <c r="V350"/>
    </row>
    <row r="351" spans="1:22" x14ac:dyDescent="0.3">
      <c r="A351" s="1" t="str">
        <f t="shared" si="5"/>
        <v>DE1350</v>
      </c>
      <c r="B351" s="1" t="s">
        <v>37</v>
      </c>
      <c r="C351" s="1" t="s">
        <v>61</v>
      </c>
      <c r="D351" s="1" t="s">
        <v>62</v>
      </c>
      <c r="E351" s="2">
        <v>45475</v>
      </c>
      <c r="F351" s="1">
        <v>9</v>
      </c>
      <c r="G351" s="5">
        <v>1319</v>
      </c>
      <c r="H351" s="5">
        <v>11871</v>
      </c>
      <c r="I351" s="1" t="s">
        <v>22</v>
      </c>
      <c r="J351" s="1" t="s">
        <v>39</v>
      </c>
      <c r="K351" s="1" t="s">
        <v>32</v>
      </c>
      <c r="L351" s="1">
        <v>10</v>
      </c>
      <c r="M351" s="1" t="s">
        <v>29</v>
      </c>
      <c r="N351" s="1" t="str">
        <f>TEXT(tblbills[[#This Row],[Date]],"mmm")</f>
        <v>Jul</v>
      </c>
      <c r="O351" s="1" t="str">
        <f>TEXT(tblbills[[#This Row],[Date]],"yyyy")</f>
        <v>2024</v>
      </c>
      <c r="Q351"/>
      <c r="R351"/>
      <c r="S351"/>
      <c r="T351"/>
      <c r="U351"/>
      <c r="V351"/>
    </row>
    <row r="352" spans="1:22" x14ac:dyDescent="0.3">
      <c r="A352" s="1" t="str">
        <f t="shared" si="5"/>
        <v>DE1351</v>
      </c>
      <c r="B352" s="1" t="s">
        <v>37</v>
      </c>
      <c r="C352" s="1" t="s">
        <v>58</v>
      </c>
      <c r="D352" s="1" t="s">
        <v>30</v>
      </c>
      <c r="E352" s="2">
        <v>45474</v>
      </c>
      <c r="F352" s="1">
        <v>15</v>
      </c>
      <c r="G352" s="5">
        <v>3177</v>
      </c>
      <c r="H352" s="5">
        <v>47655</v>
      </c>
      <c r="I352" s="1" t="s">
        <v>22</v>
      </c>
      <c r="J352" s="1" t="s">
        <v>14</v>
      </c>
      <c r="K352" s="1" t="s">
        <v>32</v>
      </c>
      <c r="L352" s="1">
        <v>7</v>
      </c>
      <c r="M352" s="1" t="s">
        <v>29</v>
      </c>
      <c r="N352" s="1" t="str">
        <f>TEXT(tblbills[[#This Row],[Date]],"mmm")</f>
        <v>Jul</v>
      </c>
      <c r="O352" s="1" t="str">
        <f>TEXT(tblbills[[#This Row],[Date]],"yyyy")</f>
        <v>2024</v>
      </c>
      <c r="Q352"/>
      <c r="R352"/>
      <c r="S352"/>
      <c r="T352"/>
      <c r="U352"/>
      <c r="V352"/>
    </row>
    <row r="353" spans="1:22" x14ac:dyDescent="0.3">
      <c r="A353" s="1" t="str">
        <f t="shared" si="5"/>
        <v>DE1352</v>
      </c>
      <c r="B353" s="1" t="s">
        <v>37</v>
      </c>
      <c r="C353" s="1" t="s">
        <v>70</v>
      </c>
      <c r="D353" s="1" t="s">
        <v>78</v>
      </c>
      <c r="E353" s="2">
        <v>45469</v>
      </c>
      <c r="F353" s="1">
        <v>17</v>
      </c>
      <c r="G353" s="5">
        <v>3925</v>
      </c>
      <c r="H353" s="5">
        <v>66725</v>
      </c>
      <c r="I353" s="1" t="s">
        <v>15</v>
      </c>
      <c r="J353" s="1" t="s">
        <v>39</v>
      </c>
      <c r="K353" s="1" t="s">
        <v>28</v>
      </c>
      <c r="L353" s="1">
        <v>10</v>
      </c>
      <c r="M353" s="1" t="s">
        <v>17</v>
      </c>
      <c r="N353" s="1" t="str">
        <f>TEXT(tblbills[[#This Row],[Date]],"mmm")</f>
        <v>Jun</v>
      </c>
      <c r="O353" s="1" t="str">
        <f>TEXT(tblbills[[#This Row],[Date]],"yyyy")</f>
        <v>2024</v>
      </c>
      <c r="Q353"/>
      <c r="R353"/>
      <c r="S353"/>
      <c r="T353"/>
      <c r="U353"/>
      <c r="V353"/>
    </row>
    <row r="354" spans="1:22" x14ac:dyDescent="0.3">
      <c r="A354" s="1" t="str">
        <f t="shared" si="5"/>
        <v>DE1353</v>
      </c>
      <c r="B354" s="1" t="s">
        <v>37</v>
      </c>
      <c r="C354" s="1" t="s">
        <v>38</v>
      </c>
      <c r="D354" s="1" t="s">
        <v>36</v>
      </c>
      <c r="E354" s="2">
        <v>45464</v>
      </c>
      <c r="F354" s="1">
        <v>10</v>
      </c>
      <c r="G354" s="5">
        <v>3107</v>
      </c>
      <c r="H354" s="5">
        <v>31070</v>
      </c>
      <c r="I354" s="1" t="s">
        <v>22</v>
      </c>
      <c r="J354" s="1" t="s">
        <v>39</v>
      </c>
      <c r="K354" s="1" t="s">
        <v>16</v>
      </c>
      <c r="L354" s="1">
        <v>0</v>
      </c>
      <c r="M354" s="1" t="s">
        <v>17</v>
      </c>
      <c r="N354" s="1" t="str">
        <f>TEXT(tblbills[[#This Row],[Date]],"mmm")</f>
        <v>Jun</v>
      </c>
      <c r="O354" s="1" t="str">
        <f>TEXT(tblbills[[#This Row],[Date]],"yyyy")</f>
        <v>2024</v>
      </c>
      <c r="Q354"/>
      <c r="R354"/>
      <c r="S354"/>
      <c r="T354"/>
      <c r="U354"/>
      <c r="V354"/>
    </row>
    <row r="355" spans="1:22" x14ac:dyDescent="0.3">
      <c r="A355" s="1" t="str">
        <f t="shared" si="5"/>
        <v>DE1354</v>
      </c>
      <c r="B355" s="1" t="s">
        <v>37</v>
      </c>
      <c r="C355" s="1" t="s">
        <v>70</v>
      </c>
      <c r="D355" s="1" t="s">
        <v>40</v>
      </c>
      <c r="E355" s="2">
        <v>45460</v>
      </c>
      <c r="F355" s="1">
        <v>2</v>
      </c>
      <c r="G355" s="5">
        <v>2163</v>
      </c>
      <c r="H355" s="5">
        <v>4326</v>
      </c>
      <c r="I355" s="1" t="s">
        <v>27</v>
      </c>
      <c r="J355" s="1" t="s">
        <v>47</v>
      </c>
      <c r="K355" s="1" t="s">
        <v>28</v>
      </c>
      <c r="L355" s="1">
        <v>0</v>
      </c>
      <c r="M355" s="1" t="s">
        <v>33</v>
      </c>
      <c r="N355" s="1" t="str">
        <f>TEXT(tblbills[[#This Row],[Date]],"mmm")</f>
        <v>Jun</v>
      </c>
      <c r="O355" s="1" t="str">
        <f>TEXT(tblbills[[#This Row],[Date]],"yyyy")</f>
        <v>2024</v>
      </c>
      <c r="Q355"/>
      <c r="R355"/>
      <c r="S355"/>
      <c r="T355"/>
      <c r="U355"/>
      <c r="V355"/>
    </row>
    <row r="356" spans="1:22" x14ac:dyDescent="0.3">
      <c r="A356" s="1" t="str">
        <f t="shared" si="5"/>
        <v>DE1355</v>
      </c>
      <c r="B356" s="1" t="s">
        <v>37</v>
      </c>
      <c r="C356" s="1" t="s">
        <v>58</v>
      </c>
      <c r="D356" s="1" t="s">
        <v>36</v>
      </c>
      <c r="E356" s="2">
        <v>45458</v>
      </c>
      <c r="F356" s="1">
        <v>11</v>
      </c>
      <c r="G356" s="5">
        <v>3059</v>
      </c>
      <c r="H356" s="5">
        <v>33649</v>
      </c>
      <c r="I356" s="1" t="s">
        <v>22</v>
      </c>
      <c r="J356" s="1" t="s">
        <v>21</v>
      </c>
      <c r="K356" s="1" t="s">
        <v>16</v>
      </c>
      <c r="L356" s="1">
        <v>0</v>
      </c>
      <c r="M356" s="1" t="s">
        <v>17</v>
      </c>
      <c r="N356" s="1" t="str">
        <f>TEXT(tblbills[[#This Row],[Date]],"mmm")</f>
        <v>Jun</v>
      </c>
      <c r="O356" s="1" t="str">
        <f>TEXT(tblbills[[#This Row],[Date]],"yyyy")</f>
        <v>2024</v>
      </c>
      <c r="Q356"/>
      <c r="R356"/>
      <c r="S356"/>
      <c r="T356"/>
      <c r="U356"/>
      <c r="V356"/>
    </row>
    <row r="357" spans="1:22" x14ac:dyDescent="0.3">
      <c r="A357" s="1" t="str">
        <f t="shared" si="5"/>
        <v>DE1356</v>
      </c>
      <c r="B357" s="1" t="s">
        <v>37</v>
      </c>
      <c r="C357" s="1" t="s">
        <v>61</v>
      </c>
      <c r="D357" s="1" t="s">
        <v>79</v>
      </c>
      <c r="E357" s="2">
        <v>45458</v>
      </c>
      <c r="F357" s="1">
        <v>14</v>
      </c>
      <c r="G357" s="5">
        <v>4098</v>
      </c>
      <c r="H357" s="5">
        <v>57372</v>
      </c>
      <c r="I357" s="1" t="s">
        <v>22</v>
      </c>
      <c r="J357" s="1" t="s">
        <v>26</v>
      </c>
      <c r="K357" s="1" t="s">
        <v>32</v>
      </c>
      <c r="L357" s="1">
        <v>7</v>
      </c>
      <c r="M357" s="1" t="s">
        <v>33</v>
      </c>
      <c r="N357" s="1" t="str">
        <f>TEXT(tblbills[[#This Row],[Date]],"mmm")</f>
        <v>Jun</v>
      </c>
      <c r="O357" s="1" t="str">
        <f>TEXT(tblbills[[#This Row],[Date]],"yyyy")</f>
        <v>2024</v>
      </c>
      <c r="Q357"/>
      <c r="R357"/>
      <c r="S357"/>
      <c r="T357"/>
      <c r="U357"/>
      <c r="V357"/>
    </row>
    <row r="358" spans="1:22" x14ac:dyDescent="0.3">
      <c r="A358" s="1" t="str">
        <f t="shared" si="5"/>
        <v>DE1357</v>
      </c>
      <c r="B358" s="1" t="s">
        <v>37</v>
      </c>
      <c r="C358" s="1" t="s">
        <v>73</v>
      </c>
      <c r="D358" s="1" t="s">
        <v>67</v>
      </c>
      <c r="E358" s="2">
        <v>45451</v>
      </c>
      <c r="F358" s="1">
        <v>9</v>
      </c>
      <c r="G358" s="5">
        <v>1645</v>
      </c>
      <c r="H358" s="5">
        <v>14805</v>
      </c>
      <c r="I358" s="1" t="s">
        <v>27</v>
      </c>
      <c r="J358" s="1" t="s">
        <v>59</v>
      </c>
      <c r="K358" s="1" t="s">
        <v>16</v>
      </c>
      <c r="L358" s="1">
        <v>10</v>
      </c>
      <c r="M358" s="1" t="s">
        <v>23</v>
      </c>
      <c r="N358" s="1" t="str">
        <f>TEXT(tblbills[[#This Row],[Date]],"mmm")</f>
        <v>Jun</v>
      </c>
      <c r="O358" s="1" t="str">
        <f>TEXT(tblbills[[#This Row],[Date]],"yyyy")</f>
        <v>2024</v>
      </c>
      <c r="Q358"/>
      <c r="R358"/>
      <c r="S358"/>
      <c r="T358"/>
      <c r="U358"/>
      <c r="V358"/>
    </row>
    <row r="359" spans="1:22" x14ac:dyDescent="0.3">
      <c r="A359" s="1" t="str">
        <f t="shared" si="5"/>
        <v>DE1358</v>
      </c>
      <c r="B359" s="1" t="s">
        <v>37</v>
      </c>
      <c r="C359" s="1" t="s">
        <v>73</v>
      </c>
      <c r="D359" s="1" t="s">
        <v>34</v>
      </c>
      <c r="E359" s="2">
        <v>45447</v>
      </c>
      <c r="F359" s="1">
        <v>20</v>
      </c>
      <c r="G359" s="5">
        <v>568</v>
      </c>
      <c r="H359" s="5">
        <v>11360</v>
      </c>
      <c r="I359" s="1" t="s">
        <v>15</v>
      </c>
      <c r="J359" s="1" t="s">
        <v>26</v>
      </c>
      <c r="K359" s="1" t="s">
        <v>32</v>
      </c>
      <c r="L359" s="1">
        <v>0</v>
      </c>
      <c r="M359" s="1" t="s">
        <v>29</v>
      </c>
      <c r="N359" s="1" t="str">
        <f>TEXT(tblbills[[#This Row],[Date]],"mmm")</f>
        <v>Jun</v>
      </c>
      <c r="O359" s="1" t="str">
        <f>TEXT(tblbills[[#This Row],[Date]],"yyyy")</f>
        <v>2024</v>
      </c>
      <c r="Q359"/>
      <c r="R359"/>
      <c r="S359"/>
      <c r="T359"/>
      <c r="U359"/>
      <c r="V359"/>
    </row>
    <row r="360" spans="1:22" x14ac:dyDescent="0.3">
      <c r="A360" s="1" t="str">
        <f t="shared" si="5"/>
        <v>DE1359</v>
      </c>
      <c r="B360" s="1" t="s">
        <v>37</v>
      </c>
      <c r="C360" s="1" t="s">
        <v>38</v>
      </c>
      <c r="D360" s="1" t="s">
        <v>76</v>
      </c>
      <c r="E360" s="2">
        <v>45444</v>
      </c>
      <c r="F360" s="1">
        <v>12</v>
      </c>
      <c r="G360" s="5">
        <v>2079</v>
      </c>
      <c r="H360" s="5">
        <v>24948</v>
      </c>
      <c r="I360" s="1" t="s">
        <v>27</v>
      </c>
      <c r="J360" s="1" t="s">
        <v>47</v>
      </c>
      <c r="K360" s="1" t="s">
        <v>32</v>
      </c>
      <c r="L360" s="1">
        <v>7</v>
      </c>
      <c r="M360" s="1" t="s">
        <v>33</v>
      </c>
      <c r="N360" s="1" t="str">
        <f>TEXT(tblbills[[#This Row],[Date]],"mmm")</f>
        <v>Jun</v>
      </c>
      <c r="O360" s="1" t="str">
        <f>TEXT(tblbills[[#This Row],[Date]],"yyyy")</f>
        <v>2024</v>
      </c>
      <c r="Q360"/>
      <c r="R360"/>
      <c r="S360"/>
      <c r="T360"/>
      <c r="U360"/>
      <c r="V360"/>
    </row>
    <row r="361" spans="1:22" x14ac:dyDescent="0.3">
      <c r="A361" s="1" t="str">
        <f t="shared" si="5"/>
        <v>DE1360</v>
      </c>
      <c r="B361" s="1" t="s">
        <v>41</v>
      </c>
      <c r="C361" s="1" t="s">
        <v>71</v>
      </c>
      <c r="D361" s="1" t="s">
        <v>49</v>
      </c>
      <c r="E361" s="2">
        <v>45742</v>
      </c>
      <c r="F361" s="1">
        <v>8</v>
      </c>
      <c r="G361" s="5">
        <v>540</v>
      </c>
      <c r="H361" s="5">
        <v>4320</v>
      </c>
      <c r="I361" s="1" t="s">
        <v>22</v>
      </c>
      <c r="J361" s="1" t="s">
        <v>39</v>
      </c>
      <c r="K361" s="1" t="s">
        <v>16</v>
      </c>
      <c r="L361" s="1">
        <v>5</v>
      </c>
      <c r="M361" s="1" t="s">
        <v>23</v>
      </c>
      <c r="N361" s="1" t="str">
        <f>TEXT(tblbills[[#This Row],[Date]],"mmm")</f>
        <v>Mar</v>
      </c>
      <c r="O361" s="1" t="str">
        <f>TEXT(tblbills[[#This Row],[Date]],"yyyy")</f>
        <v>2025</v>
      </c>
      <c r="Q361"/>
      <c r="R361"/>
      <c r="S361"/>
      <c r="T361"/>
      <c r="U361"/>
      <c r="V361"/>
    </row>
    <row r="362" spans="1:22" x14ac:dyDescent="0.3">
      <c r="A362" s="1" t="str">
        <f t="shared" si="5"/>
        <v>DE1361</v>
      </c>
      <c r="B362" s="1" t="s">
        <v>41</v>
      </c>
      <c r="C362" s="1" t="s">
        <v>71</v>
      </c>
      <c r="D362" s="1" t="s">
        <v>77</v>
      </c>
      <c r="E362" s="2">
        <v>45727</v>
      </c>
      <c r="F362" s="1">
        <v>17</v>
      </c>
      <c r="G362" s="5">
        <v>4278</v>
      </c>
      <c r="H362" s="5">
        <v>72726</v>
      </c>
      <c r="I362" s="1" t="s">
        <v>27</v>
      </c>
      <c r="J362" s="1" t="s">
        <v>43</v>
      </c>
      <c r="K362" s="1" t="s">
        <v>16</v>
      </c>
      <c r="L362" s="1">
        <v>2</v>
      </c>
      <c r="M362" s="1" t="s">
        <v>44</v>
      </c>
      <c r="N362" s="1" t="str">
        <f>TEXT(tblbills[[#This Row],[Date]],"mmm")</f>
        <v>Mar</v>
      </c>
      <c r="O362" s="1" t="str">
        <f>TEXT(tblbills[[#This Row],[Date]],"yyyy")</f>
        <v>2025</v>
      </c>
      <c r="Q362"/>
      <c r="R362"/>
      <c r="S362"/>
      <c r="T362"/>
      <c r="U362"/>
      <c r="V362"/>
    </row>
    <row r="363" spans="1:22" x14ac:dyDescent="0.3">
      <c r="A363" s="1" t="str">
        <f t="shared" si="5"/>
        <v>DE1362</v>
      </c>
      <c r="B363" s="1" t="s">
        <v>41</v>
      </c>
      <c r="C363" s="1" t="s">
        <v>42</v>
      </c>
      <c r="D363" s="1" t="s">
        <v>76</v>
      </c>
      <c r="E363" s="2">
        <v>45725</v>
      </c>
      <c r="F363" s="1">
        <v>5</v>
      </c>
      <c r="G363" s="5">
        <v>4013</v>
      </c>
      <c r="H363" s="5">
        <v>20065</v>
      </c>
      <c r="I363" s="1" t="s">
        <v>22</v>
      </c>
      <c r="J363" s="1" t="s">
        <v>26</v>
      </c>
      <c r="K363" s="1" t="s">
        <v>32</v>
      </c>
      <c r="L363" s="1">
        <v>0</v>
      </c>
      <c r="M363" s="1" t="s">
        <v>44</v>
      </c>
      <c r="N363" s="1" t="str">
        <f>TEXT(tblbills[[#This Row],[Date]],"mmm")</f>
        <v>Mar</v>
      </c>
      <c r="O363" s="1" t="str">
        <f>TEXT(tblbills[[#This Row],[Date]],"yyyy")</f>
        <v>2025</v>
      </c>
      <c r="Q363"/>
      <c r="R363"/>
      <c r="S363"/>
      <c r="T363"/>
      <c r="U363"/>
      <c r="V363"/>
    </row>
    <row r="364" spans="1:22" x14ac:dyDescent="0.3">
      <c r="A364" s="1" t="str">
        <f t="shared" si="5"/>
        <v>DE1363</v>
      </c>
      <c r="B364" s="1" t="s">
        <v>41</v>
      </c>
      <c r="C364" s="1" t="s">
        <v>60</v>
      </c>
      <c r="D364" s="1" t="s">
        <v>56</v>
      </c>
      <c r="E364" s="2">
        <v>45721</v>
      </c>
      <c r="F364" s="1">
        <v>11</v>
      </c>
      <c r="G364" s="5">
        <v>4117</v>
      </c>
      <c r="H364" s="5">
        <v>45287</v>
      </c>
      <c r="I364" s="1" t="s">
        <v>15</v>
      </c>
      <c r="J364" s="1" t="s">
        <v>21</v>
      </c>
      <c r="K364" s="1" t="s">
        <v>16</v>
      </c>
      <c r="L364" s="1">
        <v>7</v>
      </c>
      <c r="M364" s="1" t="s">
        <v>23</v>
      </c>
      <c r="N364" s="1" t="str">
        <f>TEXT(tblbills[[#This Row],[Date]],"mmm")</f>
        <v>Mar</v>
      </c>
      <c r="O364" s="1" t="str">
        <f>TEXT(tblbills[[#This Row],[Date]],"yyyy")</f>
        <v>2025</v>
      </c>
      <c r="Q364"/>
      <c r="R364"/>
      <c r="S364"/>
      <c r="T364"/>
      <c r="U364"/>
      <c r="V364"/>
    </row>
    <row r="365" spans="1:22" x14ac:dyDescent="0.3">
      <c r="A365" s="1" t="str">
        <f t="shared" si="5"/>
        <v>DE1364</v>
      </c>
      <c r="B365" s="1" t="s">
        <v>41</v>
      </c>
      <c r="C365" s="1" t="s">
        <v>69</v>
      </c>
      <c r="D365" s="1" t="s">
        <v>51</v>
      </c>
      <c r="E365" s="2">
        <v>45720</v>
      </c>
      <c r="F365" s="1">
        <v>12</v>
      </c>
      <c r="G365" s="5">
        <v>4065</v>
      </c>
      <c r="H365" s="5">
        <v>48780</v>
      </c>
      <c r="I365" s="1" t="s">
        <v>15</v>
      </c>
      <c r="J365" s="1" t="s">
        <v>59</v>
      </c>
      <c r="K365" s="1" t="s">
        <v>32</v>
      </c>
      <c r="L365" s="1">
        <v>0</v>
      </c>
      <c r="M365" s="1" t="s">
        <v>44</v>
      </c>
      <c r="N365" s="1" t="str">
        <f>TEXT(tblbills[[#This Row],[Date]],"mmm")</f>
        <v>Mar</v>
      </c>
      <c r="O365" s="1" t="str">
        <f>TEXT(tblbills[[#This Row],[Date]],"yyyy")</f>
        <v>2025</v>
      </c>
      <c r="Q365"/>
      <c r="R365"/>
      <c r="S365"/>
      <c r="T365"/>
      <c r="U365"/>
      <c r="V365"/>
    </row>
    <row r="366" spans="1:22" x14ac:dyDescent="0.3">
      <c r="A366" s="1" t="str">
        <f t="shared" si="5"/>
        <v>DE1365</v>
      </c>
      <c r="B366" s="1" t="s">
        <v>41</v>
      </c>
      <c r="C366" s="1" t="s">
        <v>52</v>
      </c>
      <c r="D366" s="1" t="s">
        <v>34</v>
      </c>
      <c r="E366" s="2">
        <v>45719</v>
      </c>
      <c r="F366" s="1">
        <v>9</v>
      </c>
      <c r="G366" s="5">
        <v>1266</v>
      </c>
      <c r="H366" s="5">
        <v>11394</v>
      </c>
      <c r="I366" s="1" t="s">
        <v>22</v>
      </c>
      <c r="J366" s="1" t="s">
        <v>26</v>
      </c>
      <c r="K366" s="1" t="s">
        <v>28</v>
      </c>
      <c r="L366" s="1">
        <v>7</v>
      </c>
      <c r="M366" s="1" t="s">
        <v>29</v>
      </c>
      <c r="N366" s="1" t="str">
        <f>TEXT(tblbills[[#This Row],[Date]],"mmm")</f>
        <v>Mar</v>
      </c>
      <c r="O366" s="1" t="str">
        <f>TEXT(tblbills[[#This Row],[Date]],"yyyy")</f>
        <v>2025</v>
      </c>
      <c r="Q366"/>
      <c r="R366"/>
      <c r="S366"/>
      <c r="T366"/>
      <c r="U366"/>
      <c r="V366"/>
    </row>
    <row r="367" spans="1:22" x14ac:dyDescent="0.3">
      <c r="A367" s="1" t="str">
        <f t="shared" si="5"/>
        <v>DE1366</v>
      </c>
      <c r="B367" s="1" t="s">
        <v>41</v>
      </c>
      <c r="C367" s="1" t="s">
        <v>60</v>
      </c>
      <c r="D367" s="1" t="s">
        <v>49</v>
      </c>
      <c r="E367" s="2">
        <v>45719</v>
      </c>
      <c r="F367" s="1">
        <v>5</v>
      </c>
      <c r="G367" s="5">
        <v>3778</v>
      </c>
      <c r="H367" s="5">
        <v>18890</v>
      </c>
      <c r="I367" s="1" t="s">
        <v>27</v>
      </c>
      <c r="J367" s="1" t="s">
        <v>26</v>
      </c>
      <c r="K367" s="1" t="s">
        <v>16</v>
      </c>
      <c r="L367" s="1">
        <v>2</v>
      </c>
      <c r="M367" s="1" t="s">
        <v>44</v>
      </c>
      <c r="N367" s="1" t="str">
        <f>TEXT(tblbills[[#This Row],[Date]],"mmm")</f>
        <v>Mar</v>
      </c>
      <c r="O367" s="1" t="str">
        <f>TEXT(tblbills[[#This Row],[Date]],"yyyy")</f>
        <v>2025</v>
      </c>
      <c r="Q367"/>
      <c r="R367"/>
      <c r="S367"/>
      <c r="T367"/>
      <c r="U367"/>
      <c r="V367"/>
    </row>
    <row r="368" spans="1:22" x14ac:dyDescent="0.3">
      <c r="A368" s="1" t="str">
        <f t="shared" si="5"/>
        <v>DE1367</v>
      </c>
      <c r="B368" s="1" t="s">
        <v>41</v>
      </c>
      <c r="C368" s="1" t="s">
        <v>52</v>
      </c>
      <c r="D368" s="1" t="s">
        <v>62</v>
      </c>
      <c r="E368" s="2">
        <v>45710</v>
      </c>
      <c r="F368" s="1">
        <v>13</v>
      </c>
      <c r="G368" s="5">
        <v>3402</v>
      </c>
      <c r="H368" s="5">
        <v>44226</v>
      </c>
      <c r="I368" s="1" t="s">
        <v>22</v>
      </c>
      <c r="J368" s="1" t="s">
        <v>14</v>
      </c>
      <c r="K368" s="1" t="s">
        <v>28</v>
      </c>
      <c r="L368" s="1">
        <v>7</v>
      </c>
      <c r="M368" s="1" t="s">
        <v>33</v>
      </c>
      <c r="N368" s="1" t="str">
        <f>TEXT(tblbills[[#This Row],[Date]],"mmm")</f>
        <v>Feb</v>
      </c>
      <c r="O368" s="1" t="str">
        <f>TEXT(tblbills[[#This Row],[Date]],"yyyy")</f>
        <v>2025</v>
      </c>
      <c r="Q368"/>
      <c r="R368"/>
      <c r="S368"/>
      <c r="T368"/>
      <c r="U368"/>
      <c r="V368"/>
    </row>
    <row r="369" spans="1:22" x14ac:dyDescent="0.3">
      <c r="A369" s="1" t="str">
        <f t="shared" si="5"/>
        <v>DE1368</v>
      </c>
      <c r="B369" s="1" t="s">
        <v>41</v>
      </c>
      <c r="C369" s="1" t="s">
        <v>52</v>
      </c>
      <c r="D369" s="1" t="s">
        <v>40</v>
      </c>
      <c r="E369" s="2">
        <v>45709</v>
      </c>
      <c r="F369" s="1">
        <v>6</v>
      </c>
      <c r="G369" s="5">
        <v>3974</v>
      </c>
      <c r="H369" s="5">
        <v>23844</v>
      </c>
      <c r="I369" s="1" t="s">
        <v>15</v>
      </c>
      <c r="J369" s="1" t="s">
        <v>26</v>
      </c>
      <c r="K369" s="1" t="s">
        <v>32</v>
      </c>
      <c r="L369" s="1">
        <v>7</v>
      </c>
      <c r="M369" s="1" t="s">
        <v>29</v>
      </c>
      <c r="N369" s="1" t="str">
        <f>TEXT(tblbills[[#This Row],[Date]],"mmm")</f>
        <v>Feb</v>
      </c>
      <c r="O369" s="1" t="str">
        <f>TEXT(tblbills[[#This Row],[Date]],"yyyy")</f>
        <v>2025</v>
      </c>
      <c r="Q369"/>
      <c r="R369"/>
      <c r="S369"/>
      <c r="T369"/>
      <c r="U369"/>
      <c r="V369"/>
    </row>
    <row r="370" spans="1:22" x14ac:dyDescent="0.3">
      <c r="A370" s="1" t="str">
        <f t="shared" si="5"/>
        <v>DE1369</v>
      </c>
      <c r="B370" s="1" t="s">
        <v>41</v>
      </c>
      <c r="C370" s="1" t="s">
        <v>60</v>
      </c>
      <c r="D370" s="1" t="s">
        <v>57</v>
      </c>
      <c r="E370" s="2">
        <v>45705</v>
      </c>
      <c r="F370" s="1">
        <v>5</v>
      </c>
      <c r="G370" s="5">
        <v>857</v>
      </c>
      <c r="H370" s="5">
        <v>4285</v>
      </c>
      <c r="I370" s="1" t="s">
        <v>22</v>
      </c>
      <c r="J370" s="1" t="s">
        <v>14</v>
      </c>
      <c r="K370" s="1" t="s">
        <v>32</v>
      </c>
      <c r="L370" s="1">
        <v>7</v>
      </c>
      <c r="M370" s="1" t="s">
        <v>33</v>
      </c>
      <c r="N370" s="1" t="str">
        <f>TEXT(tblbills[[#This Row],[Date]],"mmm")</f>
        <v>Feb</v>
      </c>
      <c r="O370" s="1" t="str">
        <f>TEXT(tblbills[[#This Row],[Date]],"yyyy")</f>
        <v>2025</v>
      </c>
      <c r="Q370"/>
      <c r="R370"/>
      <c r="S370"/>
      <c r="T370"/>
      <c r="U370"/>
      <c r="V370"/>
    </row>
    <row r="371" spans="1:22" x14ac:dyDescent="0.3">
      <c r="A371" s="1" t="str">
        <f t="shared" si="5"/>
        <v>DE1370</v>
      </c>
      <c r="B371" s="1" t="s">
        <v>41</v>
      </c>
      <c r="C371" s="1" t="s">
        <v>60</v>
      </c>
      <c r="D371" s="1" t="s">
        <v>67</v>
      </c>
      <c r="E371" s="2">
        <v>45703</v>
      </c>
      <c r="F371" s="1">
        <v>12</v>
      </c>
      <c r="G371" s="5">
        <v>684</v>
      </c>
      <c r="H371" s="5">
        <v>8208</v>
      </c>
      <c r="I371" s="1" t="s">
        <v>27</v>
      </c>
      <c r="J371" s="1" t="s">
        <v>47</v>
      </c>
      <c r="K371" s="1" t="s">
        <v>28</v>
      </c>
      <c r="L371" s="1">
        <v>2</v>
      </c>
      <c r="M371" s="1" t="s">
        <v>33</v>
      </c>
      <c r="N371" s="1" t="str">
        <f>TEXT(tblbills[[#This Row],[Date]],"mmm")</f>
        <v>Feb</v>
      </c>
      <c r="O371" s="1" t="str">
        <f>TEXT(tblbills[[#This Row],[Date]],"yyyy")</f>
        <v>2025</v>
      </c>
      <c r="Q371"/>
      <c r="R371"/>
      <c r="S371"/>
      <c r="T371"/>
      <c r="U371"/>
      <c r="V371"/>
    </row>
    <row r="372" spans="1:22" x14ac:dyDescent="0.3">
      <c r="A372" s="1" t="str">
        <f t="shared" si="5"/>
        <v>DE1371</v>
      </c>
      <c r="B372" s="1" t="s">
        <v>41</v>
      </c>
      <c r="C372" s="1" t="s">
        <v>69</v>
      </c>
      <c r="D372" s="1" t="s">
        <v>40</v>
      </c>
      <c r="E372" s="2">
        <v>45702</v>
      </c>
      <c r="F372" s="1">
        <v>3</v>
      </c>
      <c r="G372" s="5">
        <v>3284</v>
      </c>
      <c r="H372" s="5">
        <v>9852</v>
      </c>
      <c r="I372" s="1" t="s">
        <v>22</v>
      </c>
      <c r="J372" s="1" t="s">
        <v>59</v>
      </c>
      <c r="K372" s="1" t="s">
        <v>16</v>
      </c>
      <c r="L372" s="1">
        <v>7</v>
      </c>
      <c r="M372" s="1" t="s">
        <v>23</v>
      </c>
      <c r="N372" s="1" t="str">
        <f>TEXT(tblbills[[#This Row],[Date]],"mmm")</f>
        <v>Feb</v>
      </c>
      <c r="O372" s="1" t="str">
        <f>TEXT(tblbills[[#This Row],[Date]],"yyyy")</f>
        <v>2025</v>
      </c>
      <c r="Q372"/>
      <c r="R372"/>
      <c r="S372"/>
      <c r="T372"/>
      <c r="U372"/>
      <c r="V372"/>
    </row>
    <row r="373" spans="1:22" x14ac:dyDescent="0.3">
      <c r="A373" s="1" t="str">
        <f t="shared" si="5"/>
        <v>DE1372</v>
      </c>
      <c r="B373" s="1" t="s">
        <v>41</v>
      </c>
      <c r="C373" s="1" t="s">
        <v>71</v>
      </c>
      <c r="D373" s="1" t="s">
        <v>24</v>
      </c>
      <c r="E373" s="2">
        <v>45702</v>
      </c>
      <c r="F373" s="1">
        <v>11</v>
      </c>
      <c r="G373" s="5">
        <v>3745</v>
      </c>
      <c r="H373" s="5">
        <v>41195</v>
      </c>
      <c r="I373" s="1" t="s">
        <v>22</v>
      </c>
      <c r="J373" s="1" t="s">
        <v>59</v>
      </c>
      <c r="K373" s="1" t="s">
        <v>28</v>
      </c>
      <c r="L373" s="1">
        <v>7</v>
      </c>
      <c r="M373" s="1" t="s">
        <v>33</v>
      </c>
      <c r="N373" s="1" t="str">
        <f>TEXT(tblbills[[#This Row],[Date]],"mmm")</f>
        <v>Feb</v>
      </c>
      <c r="O373" s="1" t="str">
        <f>TEXT(tblbills[[#This Row],[Date]],"yyyy")</f>
        <v>2025</v>
      </c>
      <c r="Q373"/>
      <c r="R373"/>
      <c r="S373"/>
      <c r="T373"/>
      <c r="U373"/>
      <c r="V373"/>
    </row>
    <row r="374" spans="1:22" x14ac:dyDescent="0.3">
      <c r="A374" s="1" t="str">
        <f t="shared" si="5"/>
        <v>DE1373</v>
      </c>
      <c r="B374" s="1" t="s">
        <v>41</v>
      </c>
      <c r="C374" s="1" t="s">
        <v>60</v>
      </c>
      <c r="D374" s="1" t="s">
        <v>65</v>
      </c>
      <c r="E374" s="2">
        <v>45698</v>
      </c>
      <c r="F374" s="1">
        <v>20</v>
      </c>
      <c r="G374" s="5">
        <v>2092</v>
      </c>
      <c r="H374" s="5">
        <v>41840</v>
      </c>
      <c r="I374" s="1" t="s">
        <v>15</v>
      </c>
      <c r="J374" s="1" t="s">
        <v>39</v>
      </c>
      <c r="K374" s="1" t="s">
        <v>16</v>
      </c>
      <c r="L374" s="1">
        <v>0</v>
      </c>
      <c r="M374" s="1" t="s">
        <v>44</v>
      </c>
      <c r="N374" s="1" t="str">
        <f>TEXT(tblbills[[#This Row],[Date]],"mmm")</f>
        <v>Feb</v>
      </c>
      <c r="O374" s="1" t="str">
        <f>TEXT(tblbills[[#This Row],[Date]],"yyyy")</f>
        <v>2025</v>
      </c>
      <c r="Q374"/>
      <c r="R374"/>
      <c r="S374"/>
      <c r="T374"/>
      <c r="U374"/>
      <c r="V374"/>
    </row>
    <row r="375" spans="1:22" x14ac:dyDescent="0.3">
      <c r="A375" s="1" t="str">
        <f t="shared" si="5"/>
        <v>DE1374</v>
      </c>
      <c r="B375" s="1" t="s">
        <v>41</v>
      </c>
      <c r="C375" s="1" t="s">
        <v>60</v>
      </c>
      <c r="D375" s="1" t="s">
        <v>77</v>
      </c>
      <c r="E375" s="2">
        <v>45698</v>
      </c>
      <c r="F375" s="1">
        <v>16</v>
      </c>
      <c r="G375" s="5">
        <v>2647</v>
      </c>
      <c r="H375" s="5">
        <v>42352</v>
      </c>
      <c r="I375" s="1" t="s">
        <v>27</v>
      </c>
      <c r="J375" s="1" t="s">
        <v>47</v>
      </c>
      <c r="K375" s="1" t="s">
        <v>32</v>
      </c>
      <c r="L375" s="1">
        <v>0</v>
      </c>
      <c r="M375" s="1" t="s">
        <v>17</v>
      </c>
      <c r="N375" s="1" t="str">
        <f>TEXT(tblbills[[#This Row],[Date]],"mmm")</f>
        <v>Feb</v>
      </c>
      <c r="O375" s="1" t="str">
        <f>TEXT(tblbills[[#This Row],[Date]],"yyyy")</f>
        <v>2025</v>
      </c>
      <c r="Q375"/>
      <c r="R375"/>
      <c r="S375"/>
      <c r="T375"/>
      <c r="U375"/>
      <c r="V375"/>
    </row>
    <row r="376" spans="1:22" x14ac:dyDescent="0.3">
      <c r="A376" s="1" t="str">
        <f t="shared" si="5"/>
        <v>DE1375</v>
      </c>
      <c r="B376" s="1" t="s">
        <v>41</v>
      </c>
      <c r="C376" s="1" t="s">
        <v>42</v>
      </c>
      <c r="D376" s="1" t="s">
        <v>45</v>
      </c>
      <c r="E376" s="2">
        <v>45691</v>
      </c>
      <c r="F376" s="1">
        <v>7</v>
      </c>
      <c r="G376" s="5">
        <v>1892</v>
      </c>
      <c r="H376" s="5">
        <v>13244</v>
      </c>
      <c r="I376" s="1" t="s">
        <v>22</v>
      </c>
      <c r="J376" s="1" t="s">
        <v>14</v>
      </c>
      <c r="K376" s="1" t="s">
        <v>16</v>
      </c>
      <c r="L376" s="1">
        <v>0</v>
      </c>
      <c r="M376" s="1" t="s">
        <v>23</v>
      </c>
      <c r="N376" s="1" t="str">
        <f>TEXT(tblbills[[#This Row],[Date]],"mmm")</f>
        <v>Feb</v>
      </c>
      <c r="O376" s="1" t="str">
        <f>TEXT(tblbills[[#This Row],[Date]],"yyyy")</f>
        <v>2025</v>
      </c>
      <c r="Q376"/>
      <c r="R376"/>
      <c r="S376"/>
      <c r="T376"/>
      <c r="U376"/>
      <c r="V376"/>
    </row>
    <row r="377" spans="1:22" x14ac:dyDescent="0.3">
      <c r="A377" s="1" t="str">
        <f t="shared" si="5"/>
        <v>DE1376</v>
      </c>
      <c r="B377" s="1" t="s">
        <v>41</v>
      </c>
      <c r="C377" s="1" t="s">
        <v>69</v>
      </c>
      <c r="D377" s="1" t="s">
        <v>76</v>
      </c>
      <c r="E377" s="2">
        <v>45689</v>
      </c>
      <c r="F377" s="1">
        <v>6</v>
      </c>
      <c r="G377" s="5">
        <v>3926</v>
      </c>
      <c r="H377" s="5">
        <v>23556</v>
      </c>
      <c r="I377" s="1" t="s">
        <v>15</v>
      </c>
      <c r="J377" s="1" t="s">
        <v>59</v>
      </c>
      <c r="K377" s="1" t="s">
        <v>16</v>
      </c>
      <c r="L377" s="1">
        <v>10</v>
      </c>
      <c r="M377" s="1" t="s">
        <v>29</v>
      </c>
      <c r="N377" s="1" t="str">
        <f>TEXT(tblbills[[#This Row],[Date]],"mmm")</f>
        <v>Feb</v>
      </c>
      <c r="O377" s="1" t="str">
        <f>TEXT(tblbills[[#This Row],[Date]],"yyyy")</f>
        <v>2025</v>
      </c>
      <c r="Q377"/>
      <c r="R377"/>
      <c r="S377"/>
      <c r="T377"/>
      <c r="U377"/>
      <c r="V377"/>
    </row>
    <row r="378" spans="1:22" x14ac:dyDescent="0.3">
      <c r="A378" s="1" t="str">
        <f t="shared" si="5"/>
        <v>DE1377</v>
      </c>
      <c r="B378" s="1" t="s">
        <v>41</v>
      </c>
      <c r="C378" s="1" t="s">
        <v>69</v>
      </c>
      <c r="D378" s="1" t="s">
        <v>62</v>
      </c>
      <c r="E378" s="2">
        <v>45683</v>
      </c>
      <c r="F378" s="1">
        <v>15</v>
      </c>
      <c r="G378" s="5">
        <v>1138</v>
      </c>
      <c r="H378" s="5">
        <v>17070</v>
      </c>
      <c r="I378" s="1" t="s">
        <v>27</v>
      </c>
      <c r="J378" s="1" t="s">
        <v>14</v>
      </c>
      <c r="K378" s="1" t="s">
        <v>16</v>
      </c>
      <c r="L378" s="1">
        <v>5</v>
      </c>
      <c r="M378" s="1" t="s">
        <v>33</v>
      </c>
      <c r="N378" s="1" t="str">
        <f>TEXT(tblbills[[#This Row],[Date]],"mmm")</f>
        <v>Jan</v>
      </c>
      <c r="O378" s="1" t="str">
        <f>TEXT(tblbills[[#This Row],[Date]],"yyyy")</f>
        <v>2025</v>
      </c>
      <c r="Q378"/>
      <c r="R378"/>
      <c r="S378"/>
      <c r="T378"/>
      <c r="U378"/>
      <c r="V378"/>
    </row>
    <row r="379" spans="1:22" x14ac:dyDescent="0.3">
      <c r="A379" s="1" t="str">
        <f t="shared" si="5"/>
        <v>DE1378</v>
      </c>
      <c r="B379" s="1" t="s">
        <v>41</v>
      </c>
      <c r="C379" s="1" t="s">
        <v>52</v>
      </c>
      <c r="D379" s="1" t="s">
        <v>51</v>
      </c>
      <c r="E379" s="2">
        <v>45683</v>
      </c>
      <c r="F379" s="1">
        <v>13</v>
      </c>
      <c r="G379" s="5">
        <v>3246</v>
      </c>
      <c r="H379" s="5">
        <v>42198</v>
      </c>
      <c r="I379" s="1" t="s">
        <v>22</v>
      </c>
      <c r="J379" s="1" t="s">
        <v>26</v>
      </c>
      <c r="K379" s="1" t="s">
        <v>16</v>
      </c>
      <c r="L379" s="1">
        <v>7</v>
      </c>
      <c r="M379" s="1" t="s">
        <v>17</v>
      </c>
      <c r="N379" s="1" t="str">
        <f>TEXT(tblbills[[#This Row],[Date]],"mmm")</f>
        <v>Jan</v>
      </c>
      <c r="O379" s="1" t="str">
        <f>TEXT(tblbills[[#This Row],[Date]],"yyyy")</f>
        <v>2025</v>
      </c>
      <c r="Q379"/>
      <c r="R379"/>
      <c r="S379"/>
      <c r="T379"/>
      <c r="U379"/>
      <c r="V379"/>
    </row>
    <row r="380" spans="1:22" x14ac:dyDescent="0.3">
      <c r="A380" s="1" t="str">
        <f t="shared" si="5"/>
        <v>DE1379</v>
      </c>
      <c r="B380" s="1" t="s">
        <v>41</v>
      </c>
      <c r="C380" s="1" t="s">
        <v>52</v>
      </c>
      <c r="D380" s="1" t="s">
        <v>74</v>
      </c>
      <c r="E380" s="2">
        <v>45682</v>
      </c>
      <c r="F380" s="1">
        <v>11</v>
      </c>
      <c r="G380" s="5">
        <v>2100</v>
      </c>
      <c r="H380" s="5">
        <v>23100</v>
      </c>
      <c r="I380" s="1" t="s">
        <v>27</v>
      </c>
      <c r="J380" s="1" t="s">
        <v>26</v>
      </c>
      <c r="K380" s="1" t="s">
        <v>28</v>
      </c>
      <c r="L380" s="1">
        <v>0</v>
      </c>
      <c r="M380" s="1" t="s">
        <v>44</v>
      </c>
      <c r="N380" s="1" t="str">
        <f>TEXT(tblbills[[#This Row],[Date]],"mmm")</f>
        <v>Jan</v>
      </c>
      <c r="O380" s="1" t="str">
        <f>TEXT(tblbills[[#This Row],[Date]],"yyyy")</f>
        <v>2025</v>
      </c>
      <c r="Q380"/>
      <c r="R380"/>
      <c r="S380"/>
      <c r="T380"/>
      <c r="U380"/>
      <c r="V380"/>
    </row>
    <row r="381" spans="1:22" x14ac:dyDescent="0.3">
      <c r="A381" s="1" t="str">
        <f t="shared" si="5"/>
        <v>DE1380</v>
      </c>
      <c r="B381" s="1" t="s">
        <v>41</v>
      </c>
      <c r="C381" s="1" t="s">
        <v>60</v>
      </c>
      <c r="D381" s="1" t="s">
        <v>40</v>
      </c>
      <c r="E381" s="2">
        <v>45678</v>
      </c>
      <c r="F381" s="1">
        <v>8</v>
      </c>
      <c r="G381" s="5">
        <v>2902</v>
      </c>
      <c r="H381" s="5">
        <v>23216</v>
      </c>
      <c r="I381" s="1" t="s">
        <v>15</v>
      </c>
      <c r="J381" s="1" t="s">
        <v>21</v>
      </c>
      <c r="K381" s="1" t="s">
        <v>28</v>
      </c>
      <c r="L381" s="1">
        <v>0</v>
      </c>
      <c r="M381" s="1" t="s">
        <v>33</v>
      </c>
      <c r="N381" s="1" t="str">
        <f>TEXT(tblbills[[#This Row],[Date]],"mmm")</f>
        <v>Jan</v>
      </c>
      <c r="O381" s="1" t="str">
        <f>TEXT(tblbills[[#This Row],[Date]],"yyyy")</f>
        <v>2025</v>
      </c>
      <c r="Q381"/>
      <c r="R381"/>
      <c r="S381"/>
      <c r="T381"/>
      <c r="U381"/>
      <c r="V381"/>
    </row>
    <row r="382" spans="1:22" x14ac:dyDescent="0.3">
      <c r="A382" s="1" t="str">
        <f t="shared" si="5"/>
        <v>DE1381</v>
      </c>
      <c r="B382" s="1" t="s">
        <v>41</v>
      </c>
      <c r="C382" s="1" t="s">
        <v>52</v>
      </c>
      <c r="D382" s="1" t="s">
        <v>36</v>
      </c>
      <c r="E382" s="2">
        <v>45674</v>
      </c>
      <c r="F382" s="1">
        <v>20</v>
      </c>
      <c r="G382" s="5">
        <v>1376</v>
      </c>
      <c r="H382" s="5">
        <v>27520</v>
      </c>
      <c r="I382" s="1" t="s">
        <v>27</v>
      </c>
      <c r="J382" s="1" t="s">
        <v>26</v>
      </c>
      <c r="K382" s="1" t="s">
        <v>16</v>
      </c>
      <c r="L382" s="1">
        <v>0</v>
      </c>
      <c r="M382" s="1" t="s">
        <v>33</v>
      </c>
      <c r="N382" s="1" t="str">
        <f>TEXT(tblbills[[#This Row],[Date]],"mmm")</f>
        <v>Jan</v>
      </c>
      <c r="O382" s="1" t="str">
        <f>TEXT(tblbills[[#This Row],[Date]],"yyyy")</f>
        <v>2025</v>
      </c>
      <c r="Q382"/>
      <c r="R382"/>
      <c r="S382"/>
      <c r="T382"/>
      <c r="U382"/>
      <c r="V382"/>
    </row>
    <row r="383" spans="1:22" x14ac:dyDescent="0.3">
      <c r="A383" s="1" t="str">
        <f t="shared" si="5"/>
        <v>DE1382</v>
      </c>
      <c r="B383" s="1" t="s">
        <v>41</v>
      </c>
      <c r="C383" s="1" t="s">
        <v>42</v>
      </c>
      <c r="D383" s="1" t="s">
        <v>76</v>
      </c>
      <c r="E383" s="2">
        <v>45672</v>
      </c>
      <c r="F383" s="1">
        <v>17</v>
      </c>
      <c r="G383" s="5">
        <v>1269</v>
      </c>
      <c r="H383" s="5">
        <v>21573</v>
      </c>
      <c r="I383" s="1" t="s">
        <v>22</v>
      </c>
      <c r="J383" s="1" t="s">
        <v>39</v>
      </c>
      <c r="K383" s="1" t="s">
        <v>16</v>
      </c>
      <c r="L383" s="1">
        <v>10</v>
      </c>
      <c r="M383" s="1" t="s">
        <v>33</v>
      </c>
      <c r="N383" s="1" t="str">
        <f>TEXT(tblbills[[#This Row],[Date]],"mmm")</f>
        <v>Jan</v>
      </c>
      <c r="O383" s="1" t="str">
        <f>TEXT(tblbills[[#This Row],[Date]],"yyyy")</f>
        <v>2025</v>
      </c>
      <c r="Q383"/>
      <c r="R383"/>
      <c r="S383"/>
      <c r="T383"/>
      <c r="U383"/>
      <c r="V383"/>
    </row>
    <row r="384" spans="1:22" x14ac:dyDescent="0.3">
      <c r="A384" s="1" t="str">
        <f t="shared" si="5"/>
        <v>DE1383</v>
      </c>
      <c r="B384" s="1" t="s">
        <v>41</v>
      </c>
      <c r="C384" s="1" t="s">
        <v>69</v>
      </c>
      <c r="D384" s="1" t="s">
        <v>49</v>
      </c>
      <c r="E384" s="2">
        <v>45672</v>
      </c>
      <c r="F384" s="1">
        <v>17</v>
      </c>
      <c r="G384" s="5">
        <v>4287</v>
      </c>
      <c r="H384" s="5">
        <v>72879</v>
      </c>
      <c r="I384" s="1" t="s">
        <v>27</v>
      </c>
      <c r="J384" s="1" t="s">
        <v>47</v>
      </c>
      <c r="K384" s="1" t="s">
        <v>28</v>
      </c>
      <c r="L384" s="1">
        <v>0</v>
      </c>
      <c r="M384" s="1" t="s">
        <v>29</v>
      </c>
      <c r="N384" s="1" t="str">
        <f>TEXT(tblbills[[#This Row],[Date]],"mmm")</f>
        <v>Jan</v>
      </c>
      <c r="O384" s="1" t="str">
        <f>TEXT(tblbills[[#This Row],[Date]],"yyyy")</f>
        <v>2025</v>
      </c>
      <c r="Q384"/>
      <c r="R384"/>
      <c r="S384"/>
      <c r="T384"/>
      <c r="U384"/>
      <c r="V384"/>
    </row>
    <row r="385" spans="1:22" x14ac:dyDescent="0.3">
      <c r="A385" s="1" t="str">
        <f t="shared" si="5"/>
        <v>DE1384</v>
      </c>
      <c r="B385" s="1" t="s">
        <v>41</v>
      </c>
      <c r="C385" s="1" t="s">
        <v>52</v>
      </c>
      <c r="D385" s="1" t="s">
        <v>36</v>
      </c>
      <c r="E385" s="2">
        <v>45669</v>
      </c>
      <c r="F385" s="1">
        <v>20</v>
      </c>
      <c r="G385" s="5">
        <v>1464</v>
      </c>
      <c r="H385" s="5">
        <v>29280</v>
      </c>
      <c r="I385" s="1" t="s">
        <v>15</v>
      </c>
      <c r="J385" s="1" t="s">
        <v>14</v>
      </c>
      <c r="K385" s="1" t="s">
        <v>16</v>
      </c>
      <c r="L385" s="1">
        <v>0</v>
      </c>
      <c r="M385" s="1" t="s">
        <v>17</v>
      </c>
      <c r="N385" s="1" t="str">
        <f>TEXT(tblbills[[#This Row],[Date]],"mmm")</f>
        <v>Jan</v>
      </c>
      <c r="O385" s="1" t="str">
        <f>TEXT(tblbills[[#This Row],[Date]],"yyyy")</f>
        <v>2025</v>
      </c>
      <c r="Q385"/>
      <c r="R385"/>
      <c r="S385"/>
      <c r="T385"/>
      <c r="U385"/>
      <c r="V385"/>
    </row>
    <row r="386" spans="1:22" x14ac:dyDescent="0.3">
      <c r="A386" s="1" t="str">
        <f t="shared" si="5"/>
        <v>DE1385</v>
      </c>
      <c r="B386" s="1" t="s">
        <v>41</v>
      </c>
      <c r="C386" s="1" t="s">
        <v>42</v>
      </c>
      <c r="D386" s="1" t="s">
        <v>56</v>
      </c>
      <c r="E386" s="2">
        <v>45668</v>
      </c>
      <c r="F386" s="1">
        <v>1</v>
      </c>
      <c r="G386" s="5">
        <v>1289</v>
      </c>
      <c r="H386" s="5">
        <v>1289</v>
      </c>
      <c r="I386" s="1" t="s">
        <v>15</v>
      </c>
      <c r="J386" s="1" t="s">
        <v>39</v>
      </c>
      <c r="K386" s="1" t="s">
        <v>16</v>
      </c>
      <c r="L386" s="1">
        <v>0</v>
      </c>
      <c r="M386" s="1" t="s">
        <v>33</v>
      </c>
      <c r="N386" s="1" t="str">
        <f>TEXT(tblbills[[#This Row],[Date]],"mmm")</f>
        <v>Jan</v>
      </c>
      <c r="O386" s="1" t="str">
        <f>TEXT(tblbills[[#This Row],[Date]],"yyyy")</f>
        <v>2025</v>
      </c>
      <c r="Q386"/>
      <c r="R386"/>
      <c r="S386"/>
      <c r="T386"/>
      <c r="U386"/>
      <c r="V386"/>
    </row>
    <row r="387" spans="1:22" x14ac:dyDescent="0.3">
      <c r="A387" s="1" t="str">
        <f t="shared" ref="A387:A450" si="6">"DE"&amp;ROW()+999</f>
        <v>DE1386</v>
      </c>
      <c r="B387" s="1" t="s">
        <v>41</v>
      </c>
      <c r="C387" s="1" t="s">
        <v>69</v>
      </c>
      <c r="D387" s="1" t="s">
        <v>18</v>
      </c>
      <c r="E387" s="2">
        <v>45667</v>
      </c>
      <c r="F387" s="1">
        <v>2</v>
      </c>
      <c r="G387" s="5">
        <v>920</v>
      </c>
      <c r="H387" s="5">
        <v>1840</v>
      </c>
      <c r="I387" s="1" t="s">
        <v>15</v>
      </c>
      <c r="J387" s="1" t="s">
        <v>59</v>
      </c>
      <c r="K387" s="1" t="s">
        <v>16</v>
      </c>
      <c r="L387" s="1">
        <v>10</v>
      </c>
      <c r="M387" s="1" t="s">
        <v>44</v>
      </c>
      <c r="N387" s="1" t="str">
        <f>TEXT(tblbills[[#This Row],[Date]],"mmm")</f>
        <v>Jan</v>
      </c>
      <c r="O387" s="1" t="str">
        <f>TEXT(tblbills[[#This Row],[Date]],"yyyy")</f>
        <v>2025</v>
      </c>
      <c r="Q387"/>
      <c r="R387"/>
      <c r="S387"/>
      <c r="T387"/>
      <c r="U387"/>
      <c r="V387"/>
    </row>
    <row r="388" spans="1:22" x14ac:dyDescent="0.3">
      <c r="A388" s="1" t="str">
        <f t="shared" si="6"/>
        <v>DE1387</v>
      </c>
      <c r="B388" s="1" t="s">
        <v>41</v>
      </c>
      <c r="C388" s="1" t="s">
        <v>69</v>
      </c>
      <c r="D388" s="1" t="s">
        <v>79</v>
      </c>
      <c r="E388" s="2">
        <v>45660</v>
      </c>
      <c r="F388" s="1">
        <v>17</v>
      </c>
      <c r="G388" s="5">
        <v>3523</v>
      </c>
      <c r="H388" s="5">
        <v>59891</v>
      </c>
      <c r="I388" s="1" t="s">
        <v>22</v>
      </c>
      <c r="J388" s="1" t="s">
        <v>47</v>
      </c>
      <c r="K388" s="1" t="s">
        <v>16</v>
      </c>
      <c r="L388" s="1">
        <v>5</v>
      </c>
      <c r="M388" s="1" t="s">
        <v>44</v>
      </c>
      <c r="N388" s="1" t="str">
        <f>TEXT(tblbills[[#This Row],[Date]],"mmm")</f>
        <v>Jan</v>
      </c>
      <c r="O388" s="1" t="str">
        <f>TEXT(tblbills[[#This Row],[Date]],"yyyy")</f>
        <v>2025</v>
      </c>
      <c r="Q388"/>
      <c r="R388"/>
      <c r="S388"/>
      <c r="T388"/>
      <c r="U388"/>
      <c r="V388"/>
    </row>
    <row r="389" spans="1:22" x14ac:dyDescent="0.3">
      <c r="A389" s="1" t="str">
        <f t="shared" si="6"/>
        <v>DE1388</v>
      </c>
      <c r="B389" s="1" t="s">
        <v>41</v>
      </c>
      <c r="C389" s="1" t="s">
        <v>52</v>
      </c>
      <c r="D389" s="1" t="s">
        <v>36</v>
      </c>
      <c r="E389" s="2">
        <v>45659</v>
      </c>
      <c r="F389" s="1">
        <v>14</v>
      </c>
      <c r="G389" s="5">
        <v>4396</v>
      </c>
      <c r="H389" s="5">
        <v>61544</v>
      </c>
      <c r="I389" s="1" t="s">
        <v>15</v>
      </c>
      <c r="J389" s="1" t="s">
        <v>59</v>
      </c>
      <c r="K389" s="1" t="s">
        <v>16</v>
      </c>
      <c r="L389" s="1">
        <v>2</v>
      </c>
      <c r="M389" s="1" t="s">
        <v>33</v>
      </c>
      <c r="N389" s="1" t="str">
        <f>TEXT(tblbills[[#This Row],[Date]],"mmm")</f>
        <v>Jan</v>
      </c>
      <c r="O389" s="1" t="str">
        <f>TEXT(tblbills[[#This Row],[Date]],"yyyy")</f>
        <v>2025</v>
      </c>
      <c r="Q389"/>
      <c r="R389"/>
      <c r="S389"/>
      <c r="T389"/>
      <c r="U389"/>
      <c r="V389"/>
    </row>
    <row r="390" spans="1:22" x14ac:dyDescent="0.3">
      <c r="A390" s="1" t="str">
        <f t="shared" si="6"/>
        <v>DE1389</v>
      </c>
      <c r="B390" s="1" t="s">
        <v>41</v>
      </c>
      <c r="C390" s="1" t="s">
        <v>42</v>
      </c>
      <c r="D390" s="1" t="s">
        <v>67</v>
      </c>
      <c r="E390" s="2">
        <v>45656</v>
      </c>
      <c r="F390" s="1">
        <v>3</v>
      </c>
      <c r="G390" s="5">
        <v>2383</v>
      </c>
      <c r="H390" s="5">
        <v>7149</v>
      </c>
      <c r="I390" s="1" t="s">
        <v>22</v>
      </c>
      <c r="J390" s="1" t="s">
        <v>59</v>
      </c>
      <c r="K390" s="1" t="s">
        <v>28</v>
      </c>
      <c r="L390" s="1">
        <v>0</v>
      </c>
      <c r="M390" s="1" t="s">
        <v>17</v>
      </c>
      <c r="N390" s="1" t="str">
        <f>TEXT(tblbills[[#This Row],[Date]],"mmm")</f>
        <v>Dec</v>
      </c>
      <c r="O390" s="1" t="str">
        <f>TEXT(tblbills[[#This Row],[Date]],"yyyy")</f>
        <v>2024</v>
      </c>
      <c r="Q390"/>
      <c r="R390"/>
      <c r="S390"/>
      <c r="T390"/>
      <c r="U390"/>
      <c r="V390"/>
    </row>
    <row r="391" spans="1:22" x14ac:dyDescent="0.3">
      <c r="A391" s="1" t="str">
        <f t="shared" si="6"/>
        <v>DE1390</v>
      </c>
      <c r="B391" s="1" t="s">
        <v>41</v>
      </c>
      <c r="C391" s="1" t="s">
        <v>52</v>
      </c>
      <c r="D391" s="1" t="s">
        <v>45</v>
      </c>
      <c r="E391" s="2">
        <v>45654</v>
      </c>
      <c r="F391" s="1">
        <v>10</v>
      </c>
      <c r="G391" s="5">
        <v>2936</v>
      </c>
      <c r="H391" s="5">
        <v>29360</v>
      </c>
      <c r="I391" s="1" t="s">
        <v>22</v>
      </c>
      <c r="J391" s="1" t="s">
        <v>43</v>
      </c>
      <c r="K391" s="1" t="s">
        <v>16</v>
      </c>
      <c r="L391" s="1">
        <v>5</v>
      </c>
      <c r="M391" s="1" t="s">
        <v>29</v>
      </c>
      <c r="N391" s="1" t="str">
        <f>TEXT(tblbills[[#This Row],[Date]],"mmm")</f>
        <v>Dec</v>
      </c>
      <c r="O391" s="1" t="str">
        <f>TEXT(tblbills[[#This Row],[Date]],"yyyy")</f>
        <v>2024</v>
      </c>
      <c r="Q391"/>
      <c r="R391"/>
      <c r="S391"/>
      <c r="T391"/>
      <c r="U391"/>
      <c r="V391"/>
    </row>
    <row r="392" spans="1:22" x14ac:dyDescent="0.3">
      <c r="A392" s="1" t="str">
        <f t="shared" si="6"/>
        <v>DE1391</v>
      </c>
      <c r="B392" s="1" t="s">
        <v>41</v>
      </c>
      <c r="C392" s="1" t="s">
        <v>69</v>
      </c>
      <c r="D392" s="1" t="s">
        <v>65</v>
      </c>
      <c r="E392" s="2">
        <v>45646</v>
      </c>
      <c r="F392" s="1">
        <v>3</v>
      </c>
      <c r="G392" s="5">
        <v>3180</v>
      </c>
      <c r="H392" s="5">
        <v>9540</v>
      </c>
      <c r="I392" s="1" t="s">
        <v>27</v>
      </c>
      <c r="J392" s="1" t="s">
        <v>47</v>
      </c>
      <c r="K392" s="1" t="s">
        <v>32</v>
      </c>
      <c r="L392" s="1">
        <v>0</v>
      </c>
      <c r="M392" s="1" t="s">
        <v>33</v>
      </c>
      <c r="N392" s="1" t="str">
        <f>TEXT(tblbills[[#This Row],[Date]],"mmm")</f>
        <v>Dec</v>
      </c>
      <c r="O392" s="1" t="str">
        <f>TEXT(tblbills[[#This Row],[Date]],"yyyy")</f>
        <v>2024</v>
      </c>
      <c r="Q392"/>
      <c r="R392"/>
      <c r="S392"/>
      <c r="T392"/>
      <c r="U392"/>
      <c r="V392"/>
    </row>
    <row r="393" spans="1:22" x14ac:dyDescent="0.3">
      <c r="A393" s="1" t="str">
        <f t="shared" si="6"/>
        <v>DE1392</v>
      </c>
      <c r="B393" s="1" t="s">
        <v>41</v>
      </c>
      <c r="C393" s="1" t="s">
        <v>52</v>
      </c>
      <c r="D393" s="1" t="s">
        <v>76</v>
      </c>
      <c r="E393" s="2">
        <v>45645</v>
      </c>
      <c r="F393" s="1">
        <v>17</v>
      </c>
      <c r="G393" s="5">
        <v>2964</v>
      </c>
      <c r="H393" s="5">
        <v>50388</v>
      </c>
      <c r="I393" s="1" t="s">
        <v>15</v>
      </c>
      <c r="J393" s="1" t="s">
        <v>43</v>
      </c>
      <c r="K393" s="1" t="s">
        <v>16</v>
      </c>
      <c r="L393" s="1">
        <v>2</v>
      </c>
      <c r="M393" s="1" t="s">
        <v>29</v>
      </c>
      <c r="N393" s="1" t="str">
        <f>TEXT(tblbills[[#This Row],[Date]],"mmm")</f>
        <v>Dec</v>
      </c>
      <c r="O393" s="1" t="str">
        <f>TEXT(tblbills[[#This Row],[Date]],"yyyy")</f>
        <v>2024</v>
      </c>
      <c r="Q393"/>
      <c r="R393"/>
      <c r="S393"/>
      <c r="T393"/>
      <c r="U393"/>
      <c r="V393"/>
    </row>
    <row r="394" spans="1:22" x14ac:dyDescent="0.3">
      <c r="A394" s="1" t="str">
        <f t="shared" si="6"/>
        <v>DE1393</v>
      </c>
      <c r="B394" s="1" t="s">
        <v>41</v>
      </c>
      <c r="C394" s="1" t="s">
        <v>71</v>
      </c>
      <c r="D394" s="1" t="s">
        <v>79</v>
      </c>
      <c r="E394" s="2">
        <v>45637</v>
      </c>
      <c r="F394" s="1">
        <v>3</v>
      </c>
      <c r="G394" s="5">
        <v>2002</v>
      </c>
      <c r="H394" s="5">
        <v>6006</v>
      </c>
      <c r="I394" s="1" t="s">
        <v>15</v>
      </c>
      <c r="J394" s="1" t="s">
        <v>39</v>
      </c>
      <c r="K394" s="1" t="s">
        <v>28</v>
      </c>
      <c r="L394" s="1">
        <v>5</v>
      </c>
      <c r="M394" s="1" t="s">
        <v>23</v>
      </c>
      <c r="N394" s="1" t="str">
        <f>TEXT(tblbills[[#This Row],[Date]],"mmm")</f>
        <v>Dec</v>
      </c>
      <c r="O394" s="1" t="str">
        <f>TEXT(tblbills[[#This Row],[Date]],"yyyy")</f>
        <v>2024</v>
      </c>
      <c r="Q394"/>
      <c r="R394"/>
      <c r="S394"/>
      <c r="T394"/>
      <c r="U394"/>
      <c r="V394"/>
    </row>
    <row r="395" spans="1:22" x14ac:dyDescent="0.3">
      <c r="A395" s="1" t="str">
        <f t="shared" si="6"/>
        <v>DE1394</v>
      </c>
      <c r="B395" s="1" t="s">
        <v>41</v>
      </c>
      <c r="C395" s="1" t="s">
        <v>71</v>
      </c>
      <c r="D395" s="1" t="s">
        <v>79</v>
      </c>
      <c r="E395" s="2">
        <v>45636</v>
      </c>
      <c r="F395" s="1">
        <v>19</v>
      </c>
      <c r="G395" s="5">
        <v>1544</v>
      </c>
      <c r="H395" s="5">
        <v>29336</v>
      </c>
      <c r="I395" s="1" t="s">
        <v>22</v>
      </c>
      <c r="J395" s="1" t="s">
        <v>26</v>
      </c>
      <c r="K395" s="1" t="s">
        <v>28</v>
      </c>
      <c r="L395" s="1">
        <v>5</v>
      </c>
      <c r="M395" s="1" t="s">
        <v>33</v>
      </c>
      <c r="N395" s="1" t="str">
        <f>TEXT(tblbills[[#This Row],[Date]],"mmm")</f>
        <v>Dec</v>
      </c>
      <c r="O395" s="1" t="str">
        <f>TEXT(tblbills[[#This Row],[Date]],"yyyy")</f>
        <v>2024</v>
      </c>
      <c r="Q395"/>
      <c r="R395"/>
      <c r="S395"/>
      <c r="T395"/>
      <c r="U395"/>
      <c r="V395"/>
    </row>
    <row r="396" spans="1:22" x14ac:dyDescent="0.3">
      <c r="A396" s="1" t="str">
        <f t="shared" si="6"/>
        <v>DE1395</v>
      </c>
      <c r="B396" s="1" t="s">
        <v>41</v>
      </c>
      <c r="C396" s="1" t="s">
        <v>42</v>
      </c>
      <c r="D396" s="1" t="s">
        <v>56</v>
      </c>
      <c r="E396" s="2">
        <v>45630</v>
      </c>
      <c r="F396" s="1">
        <v>15</v>
      </c>
      <c r="G396" s="5">
        <v>2912</v>
      </c>
      <c r="H396" s="5">
        <v>43680</v>
      </c>
      <c r="I396" s="1" t="s">
        <v>15</v>
      </c>
      <c r="J396" s="1" t="s">
        <v>59</v>
      </c>
      <c r="K396" s="1" t="s">
        <v>32</v>
      </c>
      <c r="L396" s="1">
        <v>5</v>
      </c>
      <c r="M396" s="1" t="s">
        <v>44</v>
      </c>
      <c r="N396" s="1" t="str">
        <f>TEXT(tblbills[[#This Row],[Date]],"mmm")</f>
        <v>Dec</v>
      </c>
      <c r="O396" s="1" t="str">
        <f>TEXT(tblbills[[#This Row],[Date]],"yyyy")</f>
        <v>2024</v>
      </c>
      <c r="Q396"/>
      <c r="R396"/>
      <c r="S396"/>
      <c r="T396"/>
      <c r="U396"/>
      <c r="V396"/>
    </row>
    <row r="397" spans="1:22" x14ac:dyDescent="0.3">
      <c r="A397" s="1" t="str">
        <f t="shared" si="6"/>
        <v>DE1396</v>
      </c>
      <c r="B397" s="1" t="s">
        <v>41</v>
      </c>
      <c r="C397" s="1" t="s">
        <v>60</v>
      </c>
      <c r="D397" s="1" t="s">
        <v>36</v>
      </c>
      <c r="E397" s="2">
        <v>45629</v>
      </c>
      <c r="F397" s="1">
        <v>9</v>
      </c>
      <c r="G397" s="5">
        <v>3764</v>
      </c>
      <c r="H397" s="5">
        <v>33876</v>
      </c>
      <c r="I397" s="1" t="s">
        <v>27</v>
      </c>
      <c r="J397" s="1" t="s">
        <v>21</v>
      </c>
      <c r="K397" s="1" t="s">
        <v>28</v>
      </c>
      <c r="L397" s="1">
        <v>0</v>
      </c>
      <c r="M397" s="1" t="s">
        <v>23</v>
      </c>
      <c r="N397" s="1" t="str">
        <f>TEXT(tblbills[[#This Row],[Date]],"mmm")</f>
        <v>Dec</v>
      </c>
      <c r="O397" s="1" t="str">
        <f>TEXT(tblbills[[#This Row],[Date]],"yyyy")</f>
        <v>2024</v>
      </c>
      <c r="Q397"/>
      <c r="R397"/>
      <c r="S397"/>
      <c r="T397"/>
      <c r="U397"/>
      <c r="V397"/>
    </row>
    <row r="398" spans="1:22" x14ac:dyDescent="0.3">
      <c r="A398" s="1" t="str">
        <f t="shared" si="6"/>
        <v>DE1397</v>
      </c>
      <c r="B398" s="1" t="s">
        <v>41</v>
      </c>
      <c r="C398" s="1" t="s">
        <v>60</v>
      </c>
      <c r="D398" s="1" t="s">
        <v>78</v>
      </c>
      <c r="E398" s="2">
        <v>45628</v>
      </c>
      <c r="F398" s="1">
        <v>18</v>
      </c>
      <c r="G398" s="5">
        <v>421</v>
      </c>
      <c r="H398" s="5">
        <v>7578</v>
      </c>
      <c r="I398" s="1" t="s">
        <v>22</v>
      </c>
      <c r="J398" s="1" t="s">
        <v>21</v>
      </c>
      <c r="K398" s="1" t="s">
        <v>28</v>
      </c>
      <c r="L398" s="1">
        <v>10</v>
      </c>
      <c r="M398" s="1" t="s">
        <v>44</v>
      </c>
      <c r="N398" s="1" t="str">
        <f>TEXT(tblbills[[#This Row],[Date]],"mmm")</f>
        <v>Dec</v>
      </c>
      <c r="O398" s="1" t="str">
        <f>TEXT(tblbills[[#This Row],[Date]],"yyyy")</f>
        <v>2024</v>
      </c>
      <c r="Q398"/>
      <c r="R398"/>
      <c r="S398"/>
      <c r="T398"/>
      <c r="U398"/>
      <c r="V398"/>
    </row>
    <row r="399" spans="1:22" x14ac:dyDescent="0.3">
      <c r="A399" s="1" t="str">
        <f t="shared" si="6"/>
        <v>DE1398</v>
      </c>
      <c r="B399" s="1" t="s">
        <v>41</v>
      </c>
      <c r="C399" s="1" t="s">
        <v>71</v>
      </c>
      <c r="D399" s="1" t="s">
        <v>78</v>
      </c>
      <c r="E399" s="2">
        <v>45624</v>
      </c>
      <c r="F399" s="1">
        <v>11</v>
      </c>
      <c r="G399" s="5">
        <v>1065</v>
      </c>
      <c r="H399" s="5">
        <v>11715</v>
      </c>
      <c r="I399" s="1" t="s">
        <v>22</v>
      </c>
      <c r="J399" s="1" t="s">
        <v>43</v>
      </c>
      <c r="K399" s="1" t="s">
        <v>16</v>
      </c>
      <c r="L399" s="1">
        <v>7</v>
      </c>
      <c r="M399" s="1" t="s">
        <v>17</v>
      </c>
      <c r="N399" s="1" t="str">
        <f>TEXT(tblbills[[#This Row],[Date]],"mmm")</f>
        <v>Nov</v>
      </c>
      <c r="O399" s="1" t="str">
        <f>TEXT(tblbills[[#This Row],[Date]],"yyyy")</f>
        <v>2024</v>
      </c>
      <c r="Q399"/>
      <c r="R399"/>
      <c r="S399"/>
      <c r="T399"/>
      <c r="U399"/>
      <c r="V399"/>
    </row>
    <row r="400" spans="1:22" x14ac:dyDescent="0.3">
      <c r="A400" s="1" t="str">
        <f t="shared" si="6"/>
        <v>DE1399</v>
      </c>
      <c r="B400" s="1" t="s">
        <v>41</v>
      </c>
      <c r="C400" s="1" t="s">
        <v>42</v>
      </c>
      <c r="D400" s="1" t="s">
        <v>62</v>
      </c>
      <c r="E400" s="2">
        <v>45619</v>
      </c>
      <c r="F400" s="1">
        <v>9</v>
      </c>
      <c r="G400" s="5">
        <v>3379</v>
      </c>
      <c r="H400" s="5">
        <v>30411</v>
      </c>
      <c r="I400" s="1" t="s">
        <v>15</v>
      </c>
      <c r="J400" s="1" t="s">
        <v>43</v>
      </c>
      <c r="K400" s="1" t="s">
        <v>32</v>
      </c>
      <c r="L400" s="1">
        <v>5</v>
      </c>
      <c r="M400" s="1" t="s">
        <v>17</v>
      </c>
      <c r="N400" s="1" t="str">
        <f>TEXT(tblbills[[#This Row],[Date]],"mmm")</f>
        <v>Nov</v>
      </c>
      <c r="O400" s="1" t="str">
        <f>TEXT(tblbills[[#This Row],[Date]],"yyyy")</f>
        <v>2024</v>
      </c>
      <c r="Q400"/>
      <c r="R400"/>
      <c r="S400"/>
      <c r="T400"/>
      <c r="U400"/>
      <c r="V400"/>
    </row>
    <row r="401" spans="1:22" x14ac:dyDescent="0.3">
      <c r="A401" s="1" t="str">
        <f t="shared" si="6"/>
        <v>DE1400</v>
      </c>
      <c r="B401" s="1" t="s">
        <v>41</v>
      </c>
      <c r="C401" s="1" t="s">
        <v>42</v>
      </c>
      <c r="D401" s="1" t="s">
        <v>78</v>
      </c>
      <c r="E401" s="2">
        <v>45613</v>
      </c>
      <c r="F401" s="1">
        <v>18</v>
      </c>
      <c r="G401" s="5">
        <v>1431</v>
      </c>
      <c r="H401" s="5">
        <v>25758</v>
      </c>
      <c r="I401" s="1" t="s">
        <v>27</v>
      </c>
      <c r="J401" s="1" t="s">
        <v>43</v>
      </c>
      <c r="K401" s="1" t="s">
        <v>32</v>
      </c>
      <c r="L401" s="1">
        <v>7</v>
      </c>
      <c r="M401" s="1" t="s">
        <v>23</v>
      </c>
      <c r="N401" s="1" t="str">
        <f>TEXT(tblbills[[#This Row],[Date]],"mmm")</f>
        <v>Nov</v>
      </c>
      <c r="O401" s="1" t="str">
        <f>TEXT(tblbills[[#This Row],[Date]],"yyyy")</f>
        <v>2024</v>
      </c>
      <c r="Q401"/>
      <c r="R401"/>
      <c r="S401"/>
      <c r="T401"/>
      <c r="U401"/>
      <c r="V401"/>
    </row>
    <row r="402" spans="1:22" x14ac:dyDescent="0.3">
      <c r="A402" s="1" t="str">
        <f t="shared" si="6"/>
        <v>DE1401</v>
      </c>
      <c r="B402" s="1" t="s">
        <v>41</v>
      </c>
      <c r="C402" s="1" t="s">
        <v>52</v>
      </c>
      <c r="D402" s="1" t="s">
        <v>74</v>
      </c>
      <c r="E402" s="2">
        <v>45612</v>
      </c>
      <c r="F402" s="1">
        <v>11</v>
      </c>
      <c r="G402" s="5">
        <v>659</v>
      </c>
      <c r="H402" s="5">
        <v>7249</v>
      </c>
      <c r="I402" s="1" t="s">
        <v>22</v>
      </c>
      <c r="J402" s="1" t="s">
        <v>21</v>
      </c>
      <c r="K402" s="1" t="s">
        <v>32</v>
      </c>
      <c r="L402" s="1">
        <v>0</v>
      </c>
      <c r="M402" s="1" t="s">
        <v>44</v>
      </c>
      <c r="N402" s="1" t="str">
        <f>TEXT(tblbills[[#This Row],[Date]],"mmm")</f>
        <v>Nov</v>
      </c>
      <c r="O402" s="1" t="str">
        <f>TEXT(tblbills[[#This Row],[Date]],"yyyy")</f>
        <v>2024</v>
      </c>
      <c r="Q402"/>
      <c r="R402"/>
      <c r="S402"/>
      <c r="T402"/>
      <c r="U402"/>
      <c r="V402"/>
    </row>
    <row r="403" spans="1:22" x14ac:dyDescent="0.3">
      <c r="A403" s="1" t="str">
        <f t="shared" si="6"/>
        <v>DE1402</v>
      </c>
      <c r="B403" s="1" t="s">
        <v>41</v>
      </c>
      <c r="C403" s="1" t="s">
        <v>60</v>
      </c>
      <c r="D403" s="1" t="s">
        <v>57</v>
      </c>
      <c r="E403" s="2">
        <v>45611</v>
      </c>
      <c r="F403" s="1">
        <v>14</v>
      </c>
      <c r="G403" s="5">
        <v>4341</v>
      </c>
      <c r="H403" s="5">
        <v>60774</v>
      </c>
      <c r="I403" s="1" t="s">
        <v>22</v>
      </c>
      <c r="J403" s="1" t="s">
        <v>43</v>
      </c>
      <c r="K403" s="1" t="s">
        <v>28</v>
      </c>
      <c r="L403" s="1">
        <v>0</v>
      </c>
      <c r="M403" s="1" t="s">
        <v>44</v>
      </c>
      <c r="N403" s="1" t="str">
        <f>TEXT(tblbills[[#This Row],[Date]],"mmm")</f>
        <v>Nov</v>
      </c>
      <c r="O403" s="1" t="str">
        <f>TEXT(tblbills[[#This Row],[Date]],"yyyy")</f>
        <v>2024</v>
      </c>
      <c r="Q403"/>
      <c r="R403"/>
      <c r="S403"/>
      <c r="T403"/>
      <c r="U403"/>
      <c r="V403"/>
    </row>
    <row r="404" spans="1:22" x14ac:dyDescent="0.3">
      <c r="A404" s="1" t="str">
        <f t="shared" si="6"/>
        <v>DE1403</v>
      </c>
      <c r="B404" s="1" t="s">
        <v>41</v>
      </c>
      <c r="C404" s="1" t="s">
        <v>71</v>
      </c>
      <c r="D404" s="1" t="s">
        <v>11</v>
      </c>
      <c r="E404" s="2">
        <v>45605</v>
      </c>
      <c r="F404" s="1">
        <v>15</v>
      </c>
      <c r="G404" s="5">
        <v>2767</v>
      </c>
      <c r="H404" s="5">
        <v>41505</v>
      </c>
      <c r="I404" s="1" t="s">
        <v>15</v>
      </c>
      <c r="J404" s="1" t="s">
        <v>43</v>
      </c>
      <c r="K404" s="1" t="s">
        <v>32</v>
      </c>
      <c r="L404" s="1">
        <v>7</v>
      </c>
      <c r="M404" s="1" t="s">
        <v>44</v>
      </c>
      <c r="N404" s="1" t="str">
        <f>TEXT(tblbills[[#This Row],[Date]],"mmm")</f>
        <v>Nov</v>
      </c>
      <c r="O404" s="1" t="str">
        <f>TEXT(tblbills[[#This Row],[Date]],"yyyy")</f>
        <v>2024</v>
      </c>
      <c r="Q404"/>
      <c r="R404"/>
      <c r="S404"/>
      <c r="T404"/>
      <c r="U404"/>
      <c r="V404"/>
    </row>
    <row r="405" spans="1:22" x14ac:dyDescent="0.3">
      <c r="A405" s="1" t="str">
        <f t="shared" si="6"/>
        <v>DE1404</v>
      </c>
      <c r="B405" s="1" t="s">
        <v>41</v>
      </c>
      <c r="C405" s="1" t="s">
        <v>52</v>
      </c>
      <c r="D405" s="1" t="s">
        <v>77</v>
      </c>
      <c r="E405" s="2">
        <v>45601</v>
      </c>
      <c r="F405" s="1">
        <v>18</v>
      </c>
      <c r="G405" s="5">
        <v>3907</v>
      </c>
      <c r="H405" s="5">
        <v>70326</v>
      </c>
      <c r="I405" s="1" t="s">
        <v>27</v>
      </c>
      <c r="J405" s="1" t="s">
        <v>43</v>
      </c>
      <c r="K405" s="1" t="s">
        <v>16</v>
      </c>
      <c r="L405" s="1">
        <v>0</v>
      </c>
      <c r="M405" s="1" t="s">
        <v>29</v>
      </c>
      <c r="N405" s="1" t="str">
        <f>TEXT(tblbills[[#This Row],[Date]],"mmm")</f>
        <v>Nov</v>
      </c>
      <c r="O405" s="1" t="str">
        <f>TEXT(tblbills[[#This Row],[Date]],"yyyy")</f>
        <v>2024</v>
      </c>
      <c r="Q405"/>
      <c r="R405"/>
      <c r="S405"/>
      <c r="T405"/>
      <c r="U405"/>
      <c r="V405"/>
    </row>
    <row r="406" spans="1:22" x14ac:dyDescent="0.3">
      <c r="A406" s="1" t="str">
        <f t="shared" si="6"/>
        <v>DE1405</v>
      </c>
      <c r="B406" s="1" t="s">
        <v>41</v>
      </c>
      <c r="C406" s="1" t="s">
        <v>71</v>
      </c>
      <c r="D406" s="1" t="s">
        <v>34</v>
      </c>
      <c r="E406" s="2">
        <v>45600</v>
      </c>
      <c r="F406" s="1">
        <v>13</v>
      </c>
      <c r="G406" s="5">
        <v>817</v>
      </c>
      <c r="H406" s="5">
        <v>10621</v>
      </c>
      <c r="I406" s="1" t="s">
        <v>22</v>
      </c>
      <c r="J406" s="1" t="s">
        <v>14</v>
      </c>
      <c r="K406" s="1" t="s">
        <v>32</v>
      </c>
      <c r="L406" s="1">
        <v>0</v>
      </c>
      <c r="M406" s="1" t="s">
        <v>17</v>
      </c>
      <c r="N406" s="1" t="str">
        <f>TEXT(tblbills[[#This Row],[Date]],"mmm")</f>
        <v>Nov</v>
      </c>
      <c r="O406" s="1" t="str">
        <f>TEXT(tblbills[[#This Row],[Date]],"yyyy")</f>
        <v>2024</v>
      </c>
      <c r="Q406"/>
      <c r="R406"/>
      <c r="S406"/>
      <c r="T406"/>
      <c r="U406"/>
      <c r="V406"/>
    </row>
    <row r="407" spans="1:22" x14ac:dyDescent="0.3">
      <c r="A407" s="1" t="str">
        <f t="shared" si="6"/>
        <v>DE1406</v>
      </c>
      <c r="B407" s="1" t="s">
        <v>41</v>
      </c>
      <c r="C407" s="1" t="s">
        <v>69</v>
      </c>
      <c r="D407" s="1" t="s">
        <v>62</v>
      </c>
      <c r="E407" s="2">
        <v>45599</v>
      </c>
      <c r="F407" s="1">
        <v>13</v>
      </c>
      <c r="G407" s="5">
        <v>123</v>
      </c>
      <c r="H407" s="5">
        <v>1599</v>
      </c>
      <c r="I407" s="1" t="s">
        <v>27</v>
      </c>
      <c r="J407" s="1" t="s">
        <v>39</v>
      </c>
      <c r="K407" s="1" t="s">
        <v>16</v>
      </c>
      <c r="L407" s="1">
        <v>7</v>
      </c>
      <c r="M407" s="1" t="s">
        <v>33</v>
      </c>
      <c r="N407" s="1" t="str">
        <f>TEXT(tblbills[[#This Row],[Date]],"mmm")</f>
        <v>Nov</v>
      </c>
      <c r="O407" s="1" t="str">
        <f>TEXT(tblbills[[#This Row],[Date]],"yyyy")</f>
        <v>2024</v>
      </c>
      <c r="Q407"/>
      <c r="R407"/>
      <c r="S407"/>
      <c r="T407"/>
      <c r="U407"/>
      <c r="V407"/>
    </row>
    <row r="408" spans="1:22" x14ac:dyDescent="0.3">
      <c r="A408" s="1" t="str">
        <f t="shared" si="6"/>
        <v>DE1407</v>
      </c>
      <c r="B408" s="1" t="s">
        <v>41</v>
      </c>
      <c r="C408" s="1" t="s">
        <v>69</v>
      </c>
      <c r="D408" s="1" t="s">
        <v>65</v>
      </c>
      <c r="E408" s="2">
        <v>45597</v>
      </c>
      <c r="F408" s="1">
        <v>6</v>
      </c>
      <c r="G408" s="5">
        <v>3339</v>
      </c>
      <c r="H408" s="5">
        <v>20034</v>
      </c>
      <c r="I408" s="1" t="s">
        <v>22</v>
      </c>
      <c r="J408" s="1" t="s">
        <v>26</v>
      </c>
      <c r="K408" s="1" t="s">
        <v>16</v>
      </c>
      <c r="L408" s="1">
        <v>2</v>
      </c>
      <c r="M408" s="1" t="s">
        <v>33</v>
      </c>
      <c r="N408" s="1" t="str">
        <f>TEXT(tblbills[[#This Row],[Date]],"mmm")</f>
        <v>Nov</v>
      </c>
      <c r="O408" s="1" t="str">
        <f>TEXT(tblbills[[#This Row],[Date]],"yyyy")</f>
        <v>2024</v>
      </c>
      <c r="Q408"/>
      <c r="R408"/>
      <c r="S408"/>
      <c r="T408"/>
      <c r="U408"/>
      <c r="V408"/>
    </row>
    <row r="409" spans="1:22" x14ac:dyDescent="0.3">
      <c r="A409" s="1" t="str">
        <f t="shared" si="6"/>
        <v>DE1408</v>
      </c>
      <c r="B409" s="1" t="s">
        <v>41</v>
      </c>
      <c r="C409" s="1" t="s">
        <v>71</v>
      </c>
      <c r="D409" s="1" t="s">
        <v>40</v>
      </c>
      <c r="E409" s="2">
        <v>45594</v>
      </c>
      <c r="F409" s="1">
        <v>7</v>
      </c>
      <c r="G409" s="5">
        <v>1705</v>
      </c>
      <c r="H409" s="5">
        <v>11935</v>
      </c>
      <c r="I409" s="1" t="s">
        <v>22</v>
      </c>
      <c r="J409" s="1" t="s">
        <v>39</v>
      </c>
      <c r="K409" s="1" t="s">
        <v>28</v>
      </c>
      <c r="L409" s="1">
        <v>0</v>
      </c>
      <c r="M409" s="1" t="s">
        <v>33</v>
      </c>
      <c r="N409" s="1" t="str">
        <f>TEXT(tblbills[[#This Row],[Date]],"mmm")</f>
        <v>Oct</v>
      </c>
      <c r="O409" s="1" t="str">
        <f>TEXT(tblbills[[#This Row],[Date]],"yyyy")</f>
        <v>2024</v>
      </c>
      <c r="Q409"/>
      <c r="R409"/>
      <c r="S409"/>
      <c r="T409"/>
      <c r="U409"/>
      <c r="V409"/>
    </row>
    <row r="410" spans="1:22" x14ac:dyDescent="0.3">
      <c r="A410" s="1" t="str">
        <f t="shared" si="6"/>
        <v>DE1409</v>
      </c>
      <c r="B410" s="1" t="s">
        <v>41</v>
      </c>
      <c r="C410" s="1" t="s">
        <v>60</v>
      </c>
      <c r="D410" s="1" t="s">
        <v>57</v>
      </c>
      <c r="E410" s="2">
        <v>45589</v>
      </c>
      <c r="F410" s="1">
        <v>20</v>
      </c>
      <c r="G410" s="5">
        <v>272</v>
      </c>
      <c r="H410" s="5">
        <v>5440</v>
      </c>
      <c r="I410" s="1" t="s">
        <v>27</v>
      </c>
      <c r="J410" s="1" t="s">
        <v>39</v>
      </c>
      <c r="K410" s="1" t="s">
        <v>32</v>
      </c>
      <c r="L410" s="1">
        <v>10</v>
      </c>
      <c r="M410" s="1" t="s">
        <v>23</v>
      </c>
      <c r="N410" s="1" t="str">
        <f>TEXT(tblbills[[#This Row],[Date]],"mmm")</f>
        <v>Oct</v>
      </c>
      <c r="O410" s="1" t="str">
        <f>TEXT(tblbills[[#This Row],[Date]],"yyyy")</f>
        <v>2024</v>
      </c>
      <c r="Q410"/>
      <c r="R410"/>
      <c r="S410"/>
      <c r="T410"/>
      <c r="U410"/>
      <c r="V410"/>
    </row>
    <row r="411" spans="1:22" x14ac:dyDescent="0.3">
      <c r="A411" s="1" t="str">
        <f t="shared" si="6"/>
        <v>DE1410</v>
      </c>
      <c r="B411" s="1" t="s">
        <v>41</v>
      </c>
      <c r="C411" s="1" t="s">
        <v>69</v>
      </c>
      <c r="D411" s="1" t="s">
        <v>62</v>
      </c>
      <c r="E411" s="2">
        <v>45582</v>
      </c>
      <c r="F411" s="1">
        <v>12</v>
      </c>
      <c r="G411" s="5">
        <v>3837</v>
      </c>
      <c r="H411" s="5">
        <v>46044</v>
      </c>
      <c r="I411" s="1" t="s">
        <v>15</v>
      </c>
      <c r="J411" s="1" t="s">
        <v>26</v>
      </c>
      <c r="K411" s="1" t="s">
        <v>16</v>
      </c>
      <c r="L411" s="1">
        <v>0</v>
      </c>
      <c r="M411" s="1" t="s">
        <v>29</v>
      </c>
      <c r="N411" s="1" t="str">
        <f>TEXT(tblbills[[#This Row],[Date]],"mmm")</f>
        <v>Oct</v>
      </c>
      <c r="O411" s="1" t="str">
        <f>TEXT(tblbills[[#This Row],[Date]],"yyyy")</f>
        <v>2024</v>
      </c>
      <c r="Q411"/>
      <c r="R411"/>
      <c r="S411"/>
      <c r="T411"/>
      <c r="U411"/>
      <c r="V411"/>
    </row>
    <row r="412" spans="1:22" x14ac:dyDescent="0.3">
      <c r="A412" s="1" t="str">
        <f t="shared" si="6"/>
        <v>DE1411</v>
      </c>
      <c r="B412" s="1" t="s">
        <v>41</v>
      </c>
      <c r="C412" s="1" t="s">
        <v>71</v>
      </c>
      <c r="D412" s="1" t="s">
        <v>77</v>
      </c>
      <c r="E412" s="2">
        <v>45580</v>
      </c>
      <c r="F412" s="1">
        <v>18</v>
      </c>
      <c r="G412" s="5">
        <v>335</v>
      </c>
      <c r="H412" s="5">
        <v>6030</v>
      </c>
      <c r="I412" s="1" t="s">
        <v>27</v>
      </c>
      <c r="J412" s="1" t="s">
        <v>39</v>
      </c>
      <c r="K412" s="1" t="s">
        <v>32</v>
      </c>
      <c r="L412" s="1">
        <v>0</v>
      </c>
      <c r="M412" s="1" t="s">
        <v>29</v>
      </c>
      <c r="N412" s="1" t="str">
        <f>TEXT(tblbills[[#This Row],[Date]],"mmm")</f>
        <v>Oct</v>
      </c>
      <c r="O412" s="1" t="str">
        <f>TEXT(tblbills[[#This Row],[Date]],"yyyy")</f>
        <v>2024</v>
      </c>
      <c r="Q412"/>
      <c r="R412"/>
      <c r="S412"/>
      <c r="T412"/>
      <c r="U412"/>
      <c r="V412"/>
    </row>
    <row r="413" spans="1:22" x14ac:dyDescent="0.3">
      <c r="A413" s="1" t="str">
        <f t="shared" si="6"/>
        <v>DE1412</v>
      </c>
      <c r="B413" s="1" t="s">
        <v>41</v>
      </c>
      <c r="C413" s="1" t="s">
        <v>69</v>
      </c>
      <c r="D413" s="1" t="s">
        <v>57</v>
      </c>
      <c r="E413" s="2">
        <v>45576</v>
      </c>
      <c r="F413" s="1">
        <v>12</v>
      </c>
      <c r="G413" s="5">
        <v>1459</v>
      </c>
      <c r="H413" s="5">
        <v>17508</v>
      </c>
      <c r="I413" s="1" t="s">
        <v>15</v>
      </c>
      <c r="J413" s="1" t="s">
        <v>26</v>
      </c>
      <c r="K413" s="1" t="s">
        <v>28</v>
      </c>
      <c r="L413" s="1">
        <v>0</v>
      </c>
      <c r="M413" s="1" t="s">
        <v>23</v>
      </c>
      <c r="N413" s="1" t="str">
        <f>TEXT(tblbills[[#This Row],[Date]],"mmm")</f>
        <v>Oct</v>
      </c>
      <c r="O413" s="1" t="str">
        <f>TEXT(tblbills[[#This Row],[Date]],"yyyy")</f>
        <v>2024</v>
      </c>
      <c r="Q413"/>
      <c r="R413"/>
      <c r="S413"/>
      <c r="T413"/>
      <c r="U413"/>
      <c r="V413"/>
    </row>
    <row r="414" spans="1:22" x14ac:dyDescent="0.3">
      <c r="A414" s="1" t="str">
        <f t="shared" si="6"/>
        <v>DE1413</v>
      </c>
      <c r="B414" s="1" t="s">
        <v>41</v>
      </c>
      <c r="C414" s="1" t="s">
        <v>69</v>
      </c>
      <c r="D414" s="1" t="s">
        <v>11</v>
      </c>
      <c r="E414" s="2">
        <v>45572</v>
      </c>
      <c r="F414" s="1">
        <v>16</v>
      </c>
      <c r="G414" s="5">
        <v>2577</v>
      </c>
      <c r="H414" s="5">
        <v>41232</v>
      </c>
      <c r="I414" s="1" t="s">
        <v>22</v>
      </c>
      <c r="J414" s="1" t="s">
        <v>59</v>
      </c>
      <c r="K414" s="1" t="s">
        <v>32</v>
      </c>
      <c r="L414" s="1">
        <v>0</v>
      </c>
      <c r="M414" s="1" t="s">
        <v>29</v>
      </c>
      <c r="N414" s="1" t="str">
        <f>TEXT(tblbills[[#This Row],[Date]],"mmm")</f>
        <v>Oct</v>
      </c>
      <c r="O414" s="1" t="str">
        <f>TEXT(tblbills[[#This Row],[Date]],"yyyy")</f>
        <v>2024</v>
      </c>
      <c r="Q414"/>
      <c r="R414"/>
      <c r="S414"/>
      <c r="T414"/>
      <c r="U414"/>
      <c r="V414"/>
    </row>
    <row r="415" spans="1:22" x14ac:dyDescent="0.3">
      <c r="A415" s="1" t="str">
        <f t="shared" si="6"/>
        <v>DE1414</v>
      </c>
      <c r="B415" s="1" t="s">
        <v>41</v>
      </c>
      <c r="C415" s="1" t="s">
        <v>42</v>
      </c>
      <c r="D415" s="1" t="s">
        <v>62</v>
      </c>
      <c r="E415" s="2">
        <v>45570</v>
      </c>
      <c r="F415" s="1">
        <v>14</v>
      </c>
      <c r="G415" s="5">
        <v>958</v>
      </c>
      <c r="H415" s="5">
        <v>13412</v>
      </c>
      <c r="I415" s="1" t="s">
        <v>15</v>
      </c>
      <c r="J415" s="1" t="s">
        <v>59</v>
      </c>
      <c r="K415" s="1" t="s">
        <v>32</v>
      </c>
      <c r="L415" s="1">
        <v>0</v>
      </c>
      <c r="M415" s="1" t="s">
        <v>33</v>
      </c>
      <c r="N415" s="1" t="str">
        <f>TEXT(tblbills[[#This Row],[Date]],"mmm")</f>
        <v>Oct</v>
      </c>
      <c r="O415" s="1" t="str">
        <f>TEXT(tblbills[[#This Row],[Date]],"yyyy")</f>
        <v>2024</v>
      </c>
      <c r="Q415"/>
      <c r="R415"/>
      <c r="S415"/>
      <c r="T415"/>
      <c r="U415"/>
      <c r="V415"/>
    </row>
    <row r="416" spans="1:22" x14ac:dyDescent="0.3">
      <c r="A416" s="1" t="str">
        <f t="shared" si="6"/>
        <v>DE1415</v>
      </c>
      <c r="B416" s="1" t="s">
        <v>41</v>
      </c>
      <c r="C416" s="1" t="s">
        <v>60</v>
      </c>
      <c r="D416" s="1" t="s">
        <v>30</v>
      </c>
      <c r="E416" s="2">
        <v>45570</v>
      </c>
      <c r="F416" s="1">
        <v>18</v>
      </c>
      <c r="G416" s="5">
        <v>1909</v>
      </c>
      <c r="H416" s="5">
        <v>34362</v>
      </c>
      <c r="I416" s="1" t="s">
        <v>15</v>
      </c>
      <c r="J416" s="1" t="s">
        <v>59</v>
      </c>
      <c r="K416" s="1" t="s">
        <v>32</v>
      </c>
      <c r="L416" s="1">
        <v>5</v>
      </c>
      <c r="M416" s="1" t="s">
        <v>29</v>
      </c>
      <c r="N416" s="1" t="str">
        <f>TEXT(tblbills[[#This Row],[Date]],"mmm")</f>
        <v>Oct</v>
      </c>
      <c r="O416" s="1" t="str">
        <f>TEXT(tblbills[[#This Row],[Date]],"yyyy")</f>
        <v>2024</v>
      </c>
      <c r="Q416"/>
      <c r="R416"/>
      <c r="S416"/>
      <c r="T416"/>
      <c r="U416"/>
      <c r="V416"/>
    </row>
    <row r="417" spans="1:22" x14ac:dyDescent="0.3">
      <c r="A417" s="1" t="str">
        <f t="shared" si="6"/>
        <v>DE1416</v>
      </c>
      <c r="B417" s="1" t="s">
        <v>41</v>
      </c>
      <c r="C417" s="1" t="s">
        <v>60</v>
      </c>
      <c r="D417" s="1" t="s">
        <v>36</v>
      </c>
      <c r="E417" s="2">
        <v>45567</v>
      </c>
      <c r="F417" s="1">
        <v>4</v>
      </c>
      <c r="G417" s="5">
        <v>370</v>
      </c>
      <c r="H417" s="5">
        <v>1480</v>
      </c>
      <c r="I417" s="1" t="s">
        <v>22</v>
      </c>
      <c r="J417" s="1" t="s">
        <v>43</v>
      </c>
      <c r="K417" s="1" t="s">
        <v>28</v>
      </c>
      <c r="L417" s="1">
        <v>10</v>
      </c>
      <c r="M417" s="1" t="s">
        <v>17</v>
      </c>
      <c r="N417" s="1" t="str">
        <f>TEXT(tblbills[[#This Row],[Date]],"mmm")</f>
        <v>Oct</v>
      </c>
      <c r="O417" s="1" t="str">
        <f>TEXT(tblbills[[#This Row],[Date]],"yyyy")</f>
        <v>2024</v>
      </c>
      <c r="Q417"/>
      <c r="R417"/>
      <c r="S417"/>
      <c r="T417"/>
      <c r="U417"/>
      <c r="V417"/>
    </row>
    <row r="418" spans="1:22" x14ac:dyDescent="0.3">
      <c r="A418" s="1" t="str">
        <f t="shared" si="6"/>
        <v>DE1417</v>
      </c>
      <c r="B418" s="1" t="s">
        <v>41</v>
      </c>
      <c r="C418" s="1" t="s">
        <v>71</v>
      </c>
      <c r="D418" s="1" t="s">
        <v>51</v>
      </c>
      <c r="E418" s="2">
        <v>45565</v>
      </c>
      <c r="F418" s="1">
        <v>8</v>
      </c>
      <c r="G418" s="5">
        <v>3305</v>
      </c>
      <c r="H418" s="5">
        <v>26440</v>
      </c>
      <c r="I418" s="1" t="s">
        <v>22</v>
      </c>
      <c r="J418" s="1" t="s">
        <v>59</v>
      </c>
      <c r="K418" s="1" t="s">
        <v>16</v>
      </c>
      <c r="L418" s="1">
        <v>7</v>
      </c>
      <c r="M418" s="1" t="s">
        <v>33</v>
      </c>
      <c r="N418" s="1" t="str">
        <f>TEXT(tblbills[[#This Row],[Date]],"mmm")</f>
        <v>Sep</v>
      </c>
      <c r="O418" s="1" t="str">
        <f>TEXT(tblbills[[#This Row],[Date]],"yyyy")</f>
        <v>2024</v>
      </c>
      <c r="Q418"/>
      <c r="R418"/>
      <c r="S418"/>
      <c r="T418"/>
      <c r="U418"/>
      <c r="V418"/>
    </row>
    <row r="419" spans="1:22" x14ac:dyDescent="0.3">
      <c r="A419" s="1" t="str">
        <f t="shared" si="6"/>
        <v>DE1418</v>
      </c>
      <c r="B419" s="1" t="s">
        <v>41</v>
      </c>
      <c r="C419" s="1" t="s">
        <v>52</v>
      </c>
      <c r="D419" s="1" t="s">
        <v>56</v>
      </c>
      <c r="E419" s="2">
        <v>45552</v>
      </c>
      <c r="F419" s="1">
        <v>19</v>
      </c>
      <c r="G419" s="5">
        <v>3438</v>
      </c>
      <c r="H419" s="5">
        <v>65322</v>
      </c>
      <c r="I419" s="1" t="s">
        <v>27</v>
      </c>
      <c r="J419" s="1" t="s">
        <v>21</v>
      </c>
      <c r="K419" s="1" t="s">
        <v>16</v>
      </c>
      <c r="L419" s="1">
        <v>2</v>
      </c>
      <c r="M419" s="1" t="s">
        <v>44</v>
      </c>
      <c r="N419" s="1" t="str">
        <f>TEXT(tblbills[[#This Row],[Date]],"mmm")</f>
        <v>Sep</v>
      </c>
      <c r="O419" s="1" t="str">
        <f>TEXT(tblbills[[#This Row],[Date]],"yyyy")</f>
        <v>2024</v>
      </c>
      <c r="Q419"/>
      <c r="R419"/>
      <c r="S419"/>
      <c r="T419"/>
      <c r="U419"/>
      <c r="V419"/>
    </row>
    <row r="420" spans="1:22" x14ac:dyDescent="0.3">
      <c r="A420" s="1" t="str">
        <f t="shared" si="6"/>
        <v>DE1419</v>
      </c>
      <c r="B420" s="1" t="s">
        <v>41</v>
      </c>
      <c r="C420" s="1" t="s">
        <v>52</v>
      </c>
      <c r="D420" s="1" t="s">
        <v>65</v>
      </c>
      <c r="E420" s="2">
        <v>45547</v>
      </c>
      <c r="F420" s="1">
        <v>2</v>
      </c>
      <c r="G420" s="5">
        <v>4260</v>
      </c>
      <c r="H420" s="5">
        <v>8520</v>
      </c>
      <c r="I420" s="1" t="s">
        <v>15</v>
      </c>
      <c r="J420" s="1" t="s">
        <v>21</v>
      </c>
      <c r="K420" s="1" t="s">
        <v>32</v>
      </c>
      <c r="L420" s="1">
        <v>10</v>
      </c>
      <c r="M420" s="1" t="s">
        <v>29</v>
      </c>
      <c r="N420" s="1" t="str">
        <f>TEXT(tblbills[[#This Row],[Date]],"mmm")</f>
        <v>Sep</v>
      </c>
      <c r="O420" s="1" t="str">
        <f>TEXT(tblbills[[#This Row],[Date]],"yyyy")</f>
        <v>2024</v>
      </c>
      <c r="Q420"/>
      <c r="R420"/>
      <c r="S420"/>
      <c r="T420"/>
      <c r="U420"/>
      <c r="V420"/>
    </row>
    <row r="421" spans="1:22" x14ac:dyDescent="0.3">
      <c r="A421" s="1" t="str">
        <f t="shared" si="6"/>
        <v>DE1420</v>
      </c>
      <c r="B421" s="1" t="s">
        <v>41</v>
      </c>
      <c r="C421" s="1" t="s">
        <v>69</v>
      </c>
      <c r="D421" s="1" t="s">
        <v>78</v>
      </c>
      <c r="E421" s="2">
        <v>45544</v>
      </c>
      <c r="F421" s="1">
        <v>3</v>
      </c>
      <c r="G421" s="5">
        <v>2172</v>
      </c>
      <c r="H421" s="5">
        <v>6516</v>
      </c>
      <c r="I421" s="1" t="s">
        <v>15</v>
      </c>
      <c r="J421" s="1" t="s">
        <v>26</v>
      </c>
      <c r="K421" s="1" t="s">
        <v>32</v>
      </c>
      <c r="L421" s="1">
        <v>5</v>
      </c>
      <c r="M421" s="1" t="s">
        <v>17</v>
      </c>
      <c r="N421" s="1" t="str">
        <f>TEXT(tblbills[[#This Row],[Date]],"mmm")</f>
        <v>Sep</v>
      </c>
      <c r="O421" s="1" t="str">
        <f>TEXT(tblbills[[#This Row],[Date]],"yyyy")</f>
        <v>2024</v>
      </c>
      <c r="Q421"/>
      <c r="R421"/>
      <c r="S421"/>
      <c r="T421"/>
      <c r="U421"/>
      <c r="V421"/>
    </row>
    <row r="422" spans="1:22" x14ac:dyDescent="0.3">
      <c r="A422" s="1" t="str">
        <f t="shared" si="6"/>
        <v>DE1421</v>
      </c>
      <c r="B422" s="1" t="s">
        <v>41</v>
      </c>
      <c r="C422" s="1" t="s">
        <v>60</v>
      </c>
      <c r="D422" s="1" t="s">
        <v>45</v>
      </c>
      <c r="E422" s="2">
        <v>45537</v>
      </c>
      <c r="F422" s="1">
        <v>5</v>
      </c>
      <c r="G422" s="5">
        <v>3576</v>
      </c>
      <c r="H422" s="5">
        <v>17880</v>
      </c>
      <c r="I422" s="1" t="s">
        <v>15</v>
      </c>
      <c r="J422" s="1" t="s">
        <v>43</v>
      </c>
      <c r="K422" s="1" t="s">
        <v>32</v>
      </c>
      <c r="L422" s="1">
        <v>10</v>
      </c>
      <c r="M422" s="1" t="s">
        <v>29</v>
      </c>
      <c r="N422" s="1" t="str">
        <f>TEXT(tblbills[[#This Row],[Date]],"mmm")</f>
        <v>Sep</v>
      </c>
      <c r="O422" s="1" t="str">
        <f>TEXT(tblbills[[#This Row],[Date]],"yyyy")</f>
        <v>2024</v>
      </c>
      <c r="Q422"/>
      <c r="R422"/>
      <c r="S422"/>
      <c r="T422"/>
      <c r="U422"/>
      <c r="V422"/>
    </row>
    <row r="423" spans="1:22" x14ac:dyDescent="0.3">
      <c r="A423" s="1" t="str">
        <f t="shared" si="6"/>
        <v>DE1422</v>
      </c>
      <c r="B423" s="1" t="s">
        <v>41</v>
      </c>
      <c r="C423" s="1" t="s">
        <v>42</v>
      </c>
      <c r="D423" s="1" t="s">
        <v>79</v>
      </c>
      <c r="E423" s="2">
        <v>45534</v>
      </c>
      <c r="F423" s="1">
        <v>16</v>
      </c>
      <c r="G423" s="5">
        <v>2693</v>
      </c>
      <c r="H423" s="5">
        <v>43088</v>
      </c>
      <c r="I423" s="1" t="s">
        <v>27</v>
      </c>
      <c r="J423" s="1" t="s">
        <v>26</v>
      </c>
      <c r="K423" s="1" t="s">
        <v>16</v>
      </c>
      <c r="L423" s="1">
        <v>7</v>
      </c>
      <c r="M423" s="1" t="s">
        <v>17</v>
      </c>
      <c r="N423" s="1" t="str">
        <f>TEXT(tblbills[[#This Row],[Date]],"mmm")</f>
        <v>Aug</v>
      </c>
      <c r="O423" s="1" t="str">
        <f>TEXT(tblbills[[#This Row],[Date]],"yyyy")</f>
        <v>2024</v>
      </c>
      <c r="Q423"/>
      <c r="R423"/>
      <c r="S423"/>
      <c r="T423"/>
      <c r="U423"/>
      <c r="V423"/>
    </row>
    <row r="424" spans="1:22" x14ac:dyDescent="0.3">
      <c r="A424" s="1" t="str">
        <f t="shared" si="6"/>
        <v>DE1423</v>
      </c>
      <c r="B424" s="1" t="s">
        <v>41</v>
      </c>
      <c r="C424" s="1" t="s">
        <v>52</v>
      </c>
      <c r="D424" s="1" t="s">
        <v>24</v>
      </c>
      <c r="E424" s="2">
        <v>45529</v>
      </c>
      <c r="F424" s="1">
        <v>3</v>
      </c>
      <c r="G424" s="5">
        <v>2056</v>
      </c>
      <c r="H424" s="5">
        <v>6168</v>
      </c>
      <c r="I424" s="1" t="s">
        <v>27</v>
      </c>
      <c r="J424" s="1" t="s">
        <v>43</v>
      </c>
      <c r="K424" s="1" t="s">
        <v>32</v>
      </c>
      <c r="L424" s="1">
        <v>0</v>
      </c>
      <c r="M424" s="1" t="s">
        <v>33</v>
      </c>
      <c r="N424" s="1" t="str">
        <f>TEXT(tblbills[[#This Row],[Date]],"mmm")</f>
        <v>Aug</v>
      </c>
      <c r="O424" s="1" t="str">
        <f>TEXT(tblbills[[#This Row],[Date]],"yyyy")</f>
        <v>2024</v>
      </c>
      <c r="Q424"/>
      <c r="R424"/>
      <c r="S424"/>
      <c r="T424"/>
      <c r="U424"/>
      <c r="V424"/>
    </row>
    <row r="425" spans="1:22" x14ac:dyDescent="0.3">
      <c r="A425" s="1" t="str">
        <f t="shared" si="6"/>
        <v>DE1424</v>
      </c>
      <c r="B425" s="1" t="s">
        <v>41</v>
      </c>
      <c r="C425" s="1" t="s">
        <v>42</v>
      </c>
      <c r="D425" s="1" t="s">
        <v>40</v>
      </c>
      <c r="E425" s="2">
        <v>45527</v>
      </c>
      <c r="F425" s="1">
        <v>18</v>
      </c>
      <c r="G425" s="5">
        <v>2125</v>
      </c>
      <c r="H425" s="5">
        <v>38250</v>
      </c>
      <c r="I425" s="1" t="s">
        <v>27</v>
      </c>
      <c r="J425" s="1" t="s">
        <v>43</v>
      </c>
      <c r="K425" s="1" t="s">
        <v>16</v>
      </c>
      <c r="L425" s="1">
        <v>5</v>
      </c>
      <c r="M425" s="1" t="s">
        <v>44</v>
      </c>
      <c r="N425" s="1" t="str">
        <f>TEXT(tblbills[[#This Row],[Date]],"mmm")</f>
        <v>Aug</v>
      </c>
      <c r="O425" s="1" t="str">
        <f>TEXT(tblbills[[#This Row],[Date]],"yyyy")</f>
        <v>2024</v>
      </c>
      <c r="Q425"/>
      <c r="R425"/>
      <c r="S425"/>
      <c r="T425"/>
      <c r="U425"/>
      <c r="V425"/>
    </row>
    <row r="426" spans="1:22" x14ac:dyDescent="0.3">
      <c r="A426" s="1" t="str">
        <f t="shared" si="6"/>
        <v>DE1425</v>
      </c>
      <c r="B426" s="1" t="s">
        <v>41</v>
      </c>
      <c r="C426" s="1" t="s">
        <v>69</v>
      </c>
      <c r="D426" s="1" t="s">
        <v>57</v>
      </c>
      <c r="E426" s="2">
        <v>45525</v>
      </c>
      <c r="F426" s="1">
        <v>2</v>
      </c>
      <c r="G426" s="5">
        <v>4341</v>
      </c>
      <c r="H426" s="5">
        <v>8682</v>
      </c>
      <c r="I426" s="1" t="s">
        <v>22</v>
      </c>
      <c r="J426" s="1" t="s">
        <v>26</v>
      </c>
      <c r="K426" s="1" t="s">
        <v>32</v>
      </c>
      <c r="L426" s="1">
        <v>0</v>
      </c>
      <c r="M426" s="1" t="s">
        <v>23</v>
      </c>
      <c r="N426" s="1" t="str">
        <f>TEXT(tblbills[[#This Row],[Date]],"mmm")</f>
        <v>Aug</v>
      </c>
      <c r="O426" s="1" t="str">
        <f>TEXT(tblbills[[#This Row],[Date]],"yyyy")</f>
        <v>2024</v>
      </c>
      <c r="Q426"/>
      <c r="R426"/>
      <c r="S426"/>
      <c r="T426"/>
      <c r="U426"/>
      <c r="V426"/>
    </row>
    <row r="427" spans="1:22" x14ac:dyDescent="0.3">
      <c r="A427" s="1" t="str">
        <f t="shared" si="6"/>
        <v>DE1426</v>
      </c>
      <c r="B427" s="1" t="s">
        <v>41</v>
      </c>
      <c r="C427" s="1" t="s">
        <v>42</v>
      </c>
      <c r="D427" s="1" t="s">
        <v>76</v>
      </c>
      <c r="E427" s="2">
        <v>45522</v>
      </c>
      <c r="F427" s="1">
        <v>20</v>
      </c>
      <c r="G427" s="5">
        <v>3206</v>
      </c>
      <c r="H427" s="5">
        <v>64120</v>
      </c>
      <c r="I427" s="1" t="s">
        <v>22</v>
      </c>
      <c r="J427" s="1" t="s">
        <v>39</v>
      </c>
      <c r="K427" s="1" t="s">
        <v>28</v>
      </c>
      <c r="L427" s="1">
        <v>7</v>
      </c>
      <c r="M427" s="1" t="s">
        <v>29</v>
      </c>
      <c r="N427" s="1" t="str">
        <f>TEXT(tblbills[[#This Row],[Date]],"mmm")</f>
        <v>Aug</v>
      </c>
      <c r="O427" s="1" t="str">
        <f>TEXT(tblbills[[#This Row],[Date]],"yyyy")</f>
        <v>2024</v>
      </c>
      <c r="Q427"/>
      <c r="R427"/>
      <c r="S427"/>
      <c r="T427"/>
      <c r="U427"/>
      <c r="V427"/>
    </row>
    <row r="428" spans="1:22" x14ac:dyDescent="0.3">
      <c r="A428" s="1" t="str">
        <f t="shared" si="6"/>
        <v>DE1427</v>
      </c>
      <c r="B428" s="1" t="s">
        <v>41</v>
      </c>
      <c r="C428" s="1" t="s">
        <v>69</v>
      </c>
      <c r="D428" s="1" t="s">
        <v>11</v>
      </c>
      <c r="E428" s="2">
        <v>45521</v>
      </c>
      <c r="F428" s="1">
        <v>14</v>
      </c>
      <c r="G428" s="5">
        <v>562</v>
      </c>
      <c r="H428" s="5">
        <v>7868</v>
      </c>
      <c r="I428" s="1" t="s">
        <v>27</v>
      </c>
      <c r="J428" s="1" t="s">
        <v>39</v>
      </c>
      <c r="K428" s="1" t="s">
        <v>16</v>
      </c>
      <c r="L428" s="1">
        <v>2</v>
      </c>
      <c r="M428" s="1" t="s">
        <v>44</v>
      </c>
      <c r="N428" s="1" t="str">
        <f>TEXT(tblbills[[#This Row],[Date]],"mmm")</f>
        <v>Aug</v>
      </c>
      <c r="O428" s="1" t="str">
        <f>TEXT(tblbills[[#This Row],[Date]],"yyyy")</f>
        <v>2024</v>
      </c>
      <c r="Q428"/>
      <c r="R428"/>
      <c r="S428"/>
      <c r="T428"/>
      <c r="U428"/>
      <c r="V428"/>
    </row>
    <row r="429" spans="1:22" x14ac:dyDescent="0.3">
      <c r="A429" s="1" t="str">
        <f t="shared" si="6"/>
        <v>DE1428</v>
      </c>
      <c r="B429" s="1" t="s">
        <v>41</v>
      </c>
      <c r="C429" s="1" t="s">
        <v>60</v>
      </c>
      <c r="D429" s="1" t="s">
        <v>11</v>
      </c>
      <c r="E429" s="2">
        <v>45518</v>
      </c>
      <c r="F429" s="1">
        <v>13</v>
      </c>
      <c r="G429" s="5">
        <v>1726</v>
      </c>
      <c r="H429" s="5">
        <v>22438</v>
      </c>
      <c r="I429" s="1" t="s">
        <v>15</v>
      </c>
      <c r="J429" s="1" t="s">
        <v>43</v>
      </c>
      <c r="K429" s="1" t="s">
        <v>32</v>
      </c>
      <c r="L429" s="1">
        <v>2</v>
      </c>
      <c r="M429" s="1" t="s">
        <v>17</v>
      </c>
      <c r="N429" s="1" t="str">
        <f>TEXT(tblbills[[#This Row],[Date]],"mmm")</f>
        <v>Aug</v>
      </c>
      <c r="O429" s="1" t="str">
        <f>TEXT(tblbills[[#This Row],[Date]],"yyyy")</f>
        <v>2024</v>
      </c>
      <c r="Q429"/>
      <c r="R429"/>
      <c r="S429"/>
      <c r="T429"/>
      <c r="U429"/>
      <c r="V429"/>
    </row>
    <row r="430" spans="1:22" x14ac:dyDescent="0.3">
      <c r="A430" s="1" t="str">
        <f t="shared" si="6"/>
        <v>DE1429</v>
      </c>
      <c r="B430" s="1" t="s">
        <v>41</v>
      </c>
      <c r="C430" s="1" t="s">
        <v>71</v>
      </c>
      <c r="D430" s="1" t="s">
        <v>51</v>
      </c>
      <c r="E430" s="2">
        <v>45514</v>
      </c>
      <c r="F430" s="1">
        <v>16</v>
      </c>
      <c r="G430" s="5">
        <v>630</v>
      </c>
      <c r="H430" s="5">
        <v>10080</v>
      </c>
      <c r="I430" s="1" t="s">
        <v>22</v>
      </c>
      <c r="J430" s="1" t="s">
        <v>39</v>
      </c>
      <c r="K430" s="1" t="s">
        <v>16</v>
      </c>
      <c r="L430" s="1">
        <v>2</v>
      </c>
      <c r="M430" s="1" t="s">
        <v>44</v>
      </c>
      <c r="N430" s="1" t="str">
        <f>TEXT(tblbills[[#This Row],[Date]],"mmm")</f>
        <v>Aug</v>
      </c>
      <c r="O430" s="1" t="str">
        <f>TEXT(tblbills[[#This Row],[Date]],"yyyy")</f>
        <v>2024</v>
      </c>
      <c r="Q430"/>
      <c r="R430"/>
      <c r="S430"/>
      <c r="T430"/>
      <c r="U430"/>
      <c r="V430"/>
    </row>
    <row r="431" spans="1:22" x14ac:dyDescent="0.3">
      <c r="A431" s="1" t="str">
        <f t="shared" si="6"/>
        <v>DE1430</v>
      </c>
      <c r="B431" s="1" t="s">
        <v>41</v>
      </c>
      <c r="C431" s="1" t="s">
        <v>42</v>
      </c>
      <c r="D431" s="1" t="s">
        <v>36</v>
      </c>
      <c r="E431" s="2">
        <v>45511</v>
      </c>
      <c r="F431" s="1">
        <v>17</v>
      </c>
      <c r="G431" s="5">
        <v>2292</v>
      </c>
      <c r="H431" s="5">
        <v>38964</v>
      </c>
      <c r="I431" s="1" t="s">
        <v>15</v>
      </c>
      <c r="J431" s="1" t="s">
        <v>47</v>
      </c>
      <c r="K431" s="1" t="s">
        <v>32</v>
      </c>
      <c r="L431" s="1">
        <v>0</v>
      </c>
      <c r="M431" s="1" t="s">
        <v>17</v>
      </c>
      <c r="N431" s="1" t="str">
        <f>TEXT(tblbills[[#This Row],[Date]],"mmm")</f>
        <v>Aug</v>
      </c>
      <c r="O431" s="1" t="str">
        <f>TEXT(tblbills[[#This Row],[Date]],"yyyy")</f>
        <v>2024</v>
      </c>
      <c r="Q431"/>
      <c r="R431"/>
      <c r="S431"/>
      <c r="T431"/>
      <c r="U431"/>
      <c r="V431"/>
    </row>
    <row r="432" spans="1:22" x14ac:dyDescent="0.3">
      <c r="A432" s="1" t="str">
        <f t="shared" si="6"/>
        <v>DE1431</v>
      </c>
      <c r="B432" s="1" t="s">
        <v>41</v>
      </c>
      <c r="C432" s="1" t="s">
        <v>42</v>
      </c>
      <c r="D432" s="1" t="s">
        <v>30</v>
      </c>
      <c r="E432" s="2">
        <v>45510</v>
      </c>
      <c r="F432" s="1">
        <v>16</v>
      </c>
      <c r="G432" s="5">
        <v>841</v>
      </c>
      <c r="H432" s="5">
        <v>13456</v>
      </c>
      <c r="I432" s="1" t="s">
        <v>22</v>
      </c>
      <c r="J432" s="1" t="s">
        <v>43</v>
      </c>
      <c r="K432" s="1" t="s">
        <v>32</v>
      </c>
      <c r="L432" s="1">
        <v>2</v>
      </c>
      <c r="M432" s="1" t="s">
        <v>33</v>
      </c>
      <c r="N432" s="1" t="str">
        <f>TEXT(tblbills[[#This Row],[Date]],"mmm")</f>
        <v>Aug</v>
      </c>
      <c r="O432" s="1" t="str">
        <f>TEXT(tblbills[[#This Row],[Date]],"yyyy")</f>
        <v>2024</v>
      </c>
      <c r="Q432"/>
      <c r="R432"/>
      <c r="S432"/>
      <c r="T432"/>
      <c r="U432"/>
      <c r="V432"/>
    </row>
    <row r="433" spans="1:22" x14ac:dyDescent="0.3">
      <c r="A433" s="1" t="str">
        <f t="shared" si="6"/>
        <v>DE1432</v>
      </c>
      <c r="B433" s="1" t="s">
        <v>41</v>
      </c>
      <c r="C433" s="1" t="s">
        <v>69</v>
      </c>
      <c r="D433" s="1" t="s">
        <v>78</v>
      </c>
      <c r="E433" s="2">
        <v>45504</v>
      </c>
      <c r="F433" s="1">
        <v>3</v>
      </c>
      <c r="G433" s="5">
        <v>2153</v>
      </c>
      <c r="H433" s="5">
        <v>6459</v>
      </c>
      <c r="I433" s="1" t="s">
        <v>27</v>
      </c>
      <c r="J433" s="1" t="s">
        <v>59</v>
      </c>
      <c r="K433" s="1" t="s">
        <v>16</v>
      </c>
      <c r="L433" s="1">
        <v>10</v>
      </c>
      <c r="M433" s="1" t="s">
        <v>17</v>
      </c>
      <c r="N433" s="1" t="str">
        <f>TEXT(tblbills[[#This Row],[Date]],"mmm")</f>
        <v>Jul</v>
      </c>
      <c r="O433" s="1" t="str">
        <f>TEXT(tblbills[[#This Row],[Date]],"yyyy")</f>
        <v>2024</v>
      </c>
      <c r="Q433"/>
      <c r="R433"/>
      <c r="S433"/>
      <c r="T433"/>
      <c r="U433"/>
      <c r="V433"/>
    </row>
    <row r="434" spans="1:22" x14ac:dyDescent="0.3">
      <c r="A434" s="1" t="str">
        <f t="shared" si="6"/>
        <v>DE1433</v>
      </c>
      <c r="B434" s="1" t="s">
        <v>41</v>
      </c>
      <c r="C434" s="1" t="s">
        <v>52</v>
      </c>
      <c r="D434" s="1" t="s">
        <v>18</v>
      </c>
      <c r="E434" s="2">
        <v>45504</v>
      </c>
      <c r="F434" s="1">
        <v>5</v>
      </c>
      <c r="G434" s="5">
        <v>2685</v>
      </c>
      <c r="H434" s="5">
        <v>13425</v>
      </c>
      <c r="I434" s="1" t="s">
        <v>15</v>
      </c>
      <c r="J434" s="1" t="s">
        <v>26</v>
      </c>
      <c r="K434" s="1" t="s">
        <v>32</v>
      </c>
      <c r="L434" s="1">
        <v>7</v>
      </c>
      <c r="M434" s="1" t="s">
        <v>17</v>
      </c>
      <c r="N434" s="1" t="str">
        <f>TEXT(tblbills[[#This Row],[Date]],"mmm")</f>
        <v>Jul</v>
      </c>
      <c r="O434" s="1" t="str">
        <f>TEXT(tblbills[[#This Row],[Date]],"yyyy")</f>
        <v>2024</v>
      </c>
      <c r="Q434"/>
      <c r="R434"/>
      <c r="S434"/>
      <c r="T434"/>
      <c r="U434"/>
      <c r="V434"/>
    </row>
    <row r="435" spans="1:22" x14ac:dyDescent="0.3">
      <c r="A435" s="1" t="str">
        <f t="shared" si="6"/>
        <v>DE1434</v>
      </c>
      <c r="B435" s="1" t="s">
        <v>41</v>
      </c>
      <c r="C435" s="1" t="s">
        <v>71</v>
      </c>
      <c r="D435" s="1" t="s">
        <v>78</v>
      </c>
      <c r="E435" s="2">
        <v>45502</v>
      </c>
      <c r="F435" s="1">
        <v>14</v>
      </c>
      <c r="G435" s="5">
        <v>932</v>
      </c>
      <c r="H435" s="5">
        <v>13048</v>
      </c>
      <c r="I435" s="1" t="s">
        <v>15</v>
      </c>
      <c r="J435" s="1" t="s">
        <v>14</v>
      </c>
      <c r="K435" s="1" t="s">
        <v>32</v>
      </c>
      <c r="L435" s="1">
        <v>0</v>
      </c>
      <c r="M435" s="1" t="s">
        <v>44</v>
      </c>
      <c r="N435" s="1" t="str">
        <f>TEXT(tblbills[[#This Row],[Date]],"mmm")</f>
        <v>Jul</v>
      </c>
      <c r="O435" s="1" t="str">
        <f>TEXT(tblbills[[#This Row],[Date]],"yyyy")</f>
        <v>2024</v>
      </c>
      <c r="Q435"/>
      <c r="R435"/>
      <c r="S435"/>
      <c r="T435"/>
      <c r="U435"/>
      <c r="V435"/>
    </row>
    <row r="436" spans="1:22" x14ac:dyDescent="0.3">
      <c r="A436" s="1" t="str">
        <f t="shared" si="6"/>
        <v>DE1435</v>
      </c>
      <c r="B436" s="1" t="s">
        <v>41</v>
      </c>
      <c r="C436" s="1" t="s">
        <v>60</v>
      </c>
      <c r="D436" s="1" t="s">
        <v>65</v>
      </c>
      <c r="E436" s="2">
        <v>45501</v>
      </c>
      <c r="F436" s="1">
        <v>18</v>
      </c>
      <c r="G436" s="5">
        <v>4304</v>
      </c>
      <c r="H436" s="5">
        <v>77472</v>
      </c>
      <c r="I436" s="1" t="s">
        <v>27</v>
      </c>
      <c r="J436" s="1" t="s">
        <v>47</v>
      </c>
      <c r="K436" s="1" t="s">
        <v>32</v>
      </c>
      <c r="L436" s="1">
        <v>5</v>
      </c>
      <c r="M436" s="1" t="s">
        <v>33</v>
      </c>
      <c r="N436" s="1" t="str">
        <f>TEXT(tblbills[[#This Row],[Date]],"mmm")</f>
        <v>Jul</v>
      </c>
      <c r="O436" s="1" t="str">
        <f>TEXT(tblbills[[#This Row],[Date]],"yyyy")</f>
        <v>2024</v>
      </c>
      <c r="Q436"/>
      <c r="R436"/>
      <c r="S436"/>
      <c r="T436"/>
      <c r="U436"/>
      <c r="V436"/>
    </row>
    <row r="437" spans="1:22" x14ac:dyDescent="0.3">
      <c r="A437" s="1" t="str">
        <f t="shared" si="6"/>
        <v>DE1436</v>
      </c>
      <c r="B437" s="1" t="s">
        <v>41</v>
      </c>
      <c r="C437" s="1" t="s">
        <v>69</v>
      </c>
      <c r="D437" s="1" t="s">
        <v>79</v>
      </c>
      <c r="E437" s="2">
        <v>45488</v>
      </c>
      <c r="F437" s="1">
        <v>11</v>
      </c>
      <c r="G437" s="5">
        <v>668</v>
      </c>
      <c r="H437" s="5">
        <v>7348</v>
      </c>
      <c r="I437" s="1" t="s">
        <v>27</v>
      </c>
      <c r="J437" s="1" t="s">
        <v>21</v>
      </c>
      <c r="K437" s="1" t="s">
        <v>32</v>
      </c>
      <c r="L437" s="1">
        <v>10</v>
      </c>
      <c r="M437" s="1" t="s">
        <v>17</v>
      </c>
      <c r="N437" s="1" t="str">
        <f>TEXT(tblbills[[#This Row],[Date]],"mmm")</f>
        <v>Jul</v>
      </c>
      <c r="O437" s="1" t="str">
        <f>TEXT(tblbills[[#This Row],[Date]],"yyyy")</f>
        <v>2024</v>
      </c>
      <c r="Q437"/>
      <c r="R437"/>
      <c r="S437"/>
      <c r="T437"/>
      <c r="U437"/>
      <c r="V437"/>
    </row>
    <row r="438" spans="1:22" x14ac:dyDescent="0.3">
      <c r="A438" s="1" t="str">
        <f t="shared" si="6"/>
        <v>DE1437</v>
      </c>
      <c r="B438" s="1" t="s">
        <v>41</v>
      </c>
      <c r="C438" s="1" t="s">
        <v>69</v>
      </c>
      <c r="D438" s="1" t="s">
        <v>45</v>
      </c>
      <c r="E438" s="2">
        <v>45486</v>
      </c>
      <c r="F438" s="1">
        <v>8</v>
      </c>
      <c r="G438" s="5">
        <v>722</v>
      </c>
      <c r="H438" s="5">
        <v>5776</v>
      </c>
      <c r="I438" s="1" t="s">
        <v>27</v>
      </c>
      <c r="J438" s="1" t="s">
        <v>39</v>
      </c>
      <c r="K438" s="1" t="s">
        <v>16</v>
      </c>
      <c r="L438" s="1">
        <v>0</v>
      </c>
      <c r="M438" s="1" t="s">
        <v>44</v>
      </c>
      <c r="N438" s="1" t="str">
        <f>TEXT(tblbills[[#This Row],[Date]],"mmm")</f>
        <v>Jul</v>
      </c>
      <c r="O438" s="1" t="str">
        <f>TEXT(tblbills[[#This Row],[Date]],"yyyy")</f>
        <v>2024</v>
      </c>
      <c r="Q438"/>
      <c r="R438"/>
      <c r="S438"/>
      <c r="T438"/>
      <c r="U438"/>
      <c r="V438"/>
    </row>
    <row r="439" spans="1:22" x14ac:dyDescent="0.3">
      <c r="A439" s="1" t="str">
        <f t="shared" si="6"/>
        <v>DE1438</v>
      </c>
      <c r="B439" s="1" t="s">
        <v>41</v>
      </c>
      <c r="C439" s="1" t="s">
        <v>69</v>
      </c>
      <c r="D439" s="1" t="s">
        <v>36</v>
      </c>
      <c r="E439" s="2">
        <v>45485</v>
      </c>
      <c r="F439" s="1">
        <v>8</v>
      </c>
      <c r="G439" s="5">
        <v>3283</v>
      </c>
      <c r="H439" s="5">
        <v>26264</v>
      </c>
      <c r="I439" s="1" t="s">
        <v>15</v>
      </c>
      <c r="J439" s="1" t="s">
        <v>39</v>
      </c>
      <c r="K439" s="1" t="s">
        <v>28</v>
      </c>
      <c r="L439" s="1">
        <v>10</v>
      </c>
      <c r="M439" s="1" t="s">
        <v>23</v>
      </c>
      <c r="N439" s="1" t="str">
        <f>TEXT(tblbills[[#This Row],[Date]],"mmm")</f>
        <v>Jul</v>
      </c>
      <c r="O439" s="1" t="str">
        <f>TEXT(tblbills[[#This Row],[Date]],"yyyy")</f>
        <v>2024</v>
      </c>
      <c r="Q439"/>
      <c r="R439"/>
      <c r="S439"/>
      <c r="T439"/>
      <c r="U439"/>
      <c r="V439"/>
    </row>
    <row r="440" spans="1:22" x14ac:dyDescent="0.3">
      <c r="A440" s="1" t="str">
        <f t="shared" si="6"/>
        <v>DE1439</v>
      </c>
      <c r="B440" s="1" t="s">
        <v>41</v>
      </c>
      <c r="C440" s="1" t="s">
        <v>42</v>
      </c>
      <c r="D440" s="1" t="s">
        <v>76</v>
      </c>
      <c r="E440" s="2">
        <v>45485</v>
      </c>
      <c r="F440" s="1">
        <v>2</v>
      </c>
      <c r="G440" s="5">
        <v>4280</v>
      </c>
      <c r="H440" s="5">
        <v>8560</v>
      </c>
      <c r="I440" s="1" t="s">
        <v>22</v>
      </c>
      <c r="J440" s="1" t="s">
        <v>47</v>
      </c>
      <c r="K440" s="1" t="s">
        <v>16</v>
      </c>
      <c r="L440" s="1">
        <v>10</v>
      </c>
      <c r="M440" s="1" t="s">
        <v>33</v>
      </c>
      <c r="N440" s="1" t="str">
        <f>TEXT(tblbills[[#This Row],[Date]],"mmm")</f>
        <v>Jul</v>
      </c>
      <c r="O440" s="1" t="str">
        <f>TEXT(tblbills[[#This Row],[Date]],"yyyy")</f>
        <v>2024</v>
      </c>
      <c r="Q440"/>
      <c r="R440"/>
      <c r="S440"/>
      <c r="T440"/>
      <c r="U440"/>
      <c r="V440"/>
    </row>
    <row r="441" spans="1:22" x14ac:dyDescent="0.3">
      <c r="A441" s="1" t="str">
        <f t="shared" si="6"/>
        <v>DE1440</v>
      </c>
      <c r="B441" s="1" t="s">
        <v>41</v>
      </c>
      <c r="C441" s="1" t="s">
        <v>52</v>
      </c>
      <c r="D441" s="1" t="s">
        <v>62</v>
      </c>
      <c r="E441" s="2">
        <v>45481</v>
      </c>
      <c r="F441" s="1">
        <v>12</v>
      </c>
      <c r="G441" s="5">
        <v>4276</v>
      </c>
      <c r="H441" s="5">
        <v>51312</v>
      </c>
      <c r="I441" s="1" t="s">
        <v>27</v>
      </c>
      <c r="J441" s="1" t="s">
        <v>43</v>
      </c>
      <c r="K441" s="1" t="s">
        <v>28</v>
      </c>
      <c r="L441" s="1">
        <v>0</v>
      </c>
      <c r="M441" s="1" t="s">
        <v>29</v>
      </c>
      <c r="N441" s="1" t="str">
        <f>TEXT(tblbills[[#This Row],[Date]],"mmm")</f>
        <v>Jul</v>
      </c>
      <c r="O441" s="1" t="str">
        <f>TEXT(tblbills[[#This Row],[Date]],"yyyy")</f>
        <v>2024</v>
      </c>
      <c r="Q441"/>
      <c r="R441"/>
      <c r="S441"/>
      <c r="T441"/>
      <c r="U441"/>
      <c r="V441"/>
    </row>
    <row r="442" spans="1:22" x14ac:dyDescent="0.3">
      <c r="A442" s="1" t="str">
        <f t="shared" si="6"/>
        <v>DE1441</v>
      </c>
      <c r="B442" s="1" t="s">
        <v>41</v>
      </c>
      <c r="C442" s="1" t="s">
        <v>42</v>
      </c>
      <c r="D442" s="1" t="s">
        <v>57</v>
      </c>
      <c r="E442" s="2">
        <v>45479</v>
      </c>
      <c r="F442" s="1">
        <v>17</v>
      </c>
      <c r="G442" s="5">
        <v>245</v>
      </c>
      <c r="H442" s="5">
        <v>4165</v>
      </c>
      <c r="I442" s="1" t="s">
        <v>27</v>
      </c>
      <c r="J442" s="1" t="s">
        <v>21</v>
      </c>
      <c r="K442" s="1" t="s">
        <v>16</v>
      </c>
      <c r="L442" s="1">
        <v>5</v>
      </c>
      <c r="M442" s="1" t="s">
        <v>44</v>
      </c>
      <c r="N442" s="1" t="str">
        <f>TEXT(tblbills[[#This Row],[Date]],"mmm")</f>
        <v>Jul</v>
      </c>
      <c r="O442" s="1" t="str">
        <f>TEXT(tblbills[[#This Row],[Date]],"yyyy")</f>
        <v>2024</v>
      </c>
      <c r="Q442"/>
      <c r="R442"/>
      <c r="S442"/>
      <c r="T442"/>
      <c r="U442"/>
      <c r="V442"/>
    </row>
    <row r="443" spans="1:22" x14ac:dyDescent="0.3">
      <c r="A443" s="1" t="str">
        <f t="shared" si="6"/>
        <v>DE1442</v>
      </c>
      <c r="B443" s="1" t="s">
        <v>41</v>
      </c>
      <c r="C443" s="1" t="s">
        <v>69</v>
      </c>
      <c r="D443" s="1" t="s">
        <v>76</v>
      </c>
      <c r="E443" s="2">
        <v>45479</v>
      </c>
      <c r="F443" s="1">
        <v>14</v>
      </c>
      <c r="G443" s="5">
        <v>1660</v>
      </c>
      <c r="H443" s="5">
        <v>23240</v>
      </c>
      <c r="I443" s="1" t="s">
        <v>27</v>
      </c>
      <c r="J443" s="1" t="s">
        <v>39</v>
      </c>
      <c r="K443" s="1" t="s">
        <v>16</v>
      </c>
      <c r="L443" s="1">
        <v>2</v>
      </c>
      <c r="M443" s="1" t="s">
        <v>44</v>
      </c>
      <c r="N443" s="1" t="str">
        <f>TEXT(tblbills[[#This Row],[Date]],"mmm")</f>
        <v>Jul</v>
      </c>
      <c r="O443" s="1" t="str">
        <f>TEXT(tblbills[[#This Row],[Date]],"yyyy")</f>
        <v>2024</v>
      </c>
      <c r="Q443"/>
      <c r="R443"/>
      <c r="S443"/>
      <c r="T443"/>
      <c r="U443"/>
      <c r="V443"/>
    </row>
    <row r="444" spans="1:22" x14ac:dyDescent="0.3">
      <c r="A444" s="1" t="str">
        <f t="shared" si="6"/>
        <v>DE1443</v>
      </c>
      <c r="B444" s="1" t="s">
        <v>41</v>
      </c>
      <c r="C444" s="1" t="s">
        <v>42</v>
      </c>
      <c r="D444" s="1" t="s">
        <v>67</v>
      </c>
      <c r="E444" s="2">
        <v>45479</v>
      </c>
      <c r="F444" s="1">
        <v>12</v>
      </c>
      <c r="G444" s="5">
        <v>3653</v>
      </c>
      <c r="H444" s="5">
        <v>43836</v>
      </c>
      <c r="I444" s="1" t="s">
        <v>27</v>
      </c>
      <c r="J444" s="1" t="s">
        <v>21</v>
      </c>
      <c r="K444" s="1" t="s">
        <v>28</v>
      </c>
      <c r="L444" s="1">
        <v>7</v>
      </c>
      <c r="M444" s="1" t="s">
        <v>17</v>
      </c>
      <c r="N444" s="1" t="str">
        <f>TEXT(tblbills[[#This Row],[Date]],"mmm")</f>
        <v>Jul</v>
      </c>
      <c r="O444" s="1" t="str">
        <f>TEXT(tblbills[[#This Row],[Date]],"yyyy")</f>
        <v>2024</v>
      </c>
      <c r="Q444"/>
      <c r="R444"/>
      <c r="S444"/>
      <c r="T444"/>
      <c r="U444"/>
      <c r="V444"/>
    </row>
    <row r="445" spans="1:22" x14ac:dyDescent="0.3">
      <c r="A445" s="1" t="str">
        <f t="shared" si="6"/>
        <v>DE1444</v>
      </c>
      <c r="B445" s="1" t="s">
        <v>41</v>
      </c>
      <c r="C445" s="1" t="s">
        <v>60</v>
      </c>
      <c r="D445" s="1" t="s">
        <v>40</v>
      </c>
      <c r="E445" s="2">
        <v>45475</v>
      </c>
      <c r="F445" s="1">
        <v>17</v>
      </c>
      <c r="G445" s="5">
        <v>1355</v>
      </c>
      <c r="H445" s="5">
        <v>23035</v>
      </c>
      <c r="I445" s="1" t="s">
        <v>27</v>
      </c>
      <c r="J445" s="1" t="s">
        <v>47</v>
      </c>
      <c r="K445" s="1" t="s">
        <v>28</v>
      </c>
      <c r="L445" s="1">
        <v>5</v>
      </c>
      <c r="M445" s="1" t="s">
        <v>29</v>
      </c>
      <c r="N445" s="1" t="str">
        <f>TEXT(tblbills[[#This Row],[Date]],"mmm")</f>
        <v>Jul</v>
      </c>
      <c r="O445" s="1" t="str">
        <f>TEXT(tblbills[[#This Row],[Date]],"yyyy")</f>
        <v>2024</v>
      </c>
      <c r="Q445"/>
      <c r="R445"/>
      <c r="S445"/>
      <c r="T445"/>
      <c r="U445"/>
      <c r="V445"/>
    </row>
    <row r="446" spans="1:22" x14ac:dyDescent="0.3">
      <c r="A446" s="1" t="str">
        <f t="shared" si="6"/>
        <v>DE1445</v>
      </c>
      <c r="B446" s="1" t="s">
        <v>41</v>
      </c>
      <c r="C446" s="1" t="s">
        <v>52</v>
      </c>
      <c r="D446" s="1" t="s">
        <v>78</v>
      </c>
      <c r="E446" s="2">
        <v>45463</v>
      </c>
      <c r="F446" s="1">
        <v>6</v>
      </c>
      <c r="G446" s="5">
        <v>4018</v>
      </c>
      <c r="H446" s="5">
        <v>24108</v>
      </c>
      <c r="I446" s="1" t="s">
        <v>15</v>
      </c>
      <c r="J446" s="1" t="s">
        <v>21</v>
      </c>
      <c r="K446" s="1" t="s">
        <v>32</v>
      </c>
      <c r="L446" s="1">
        <v>7</v>
      </c>
      <c r="M446" s="1" t="s">
        <v>17</v>
      </c>
      <c r="N446" s="1" t="str">
        <f>TEXT(tblbills[[#This Row],[Date]],"mmm")</f>
        <v>Jun</v>
      </c>
      <c r="O446" s="1" t="str">
        <f>TEXT(tblbills[[#This Row],[Date]],"yyyy")</f>
        <v>2024</v>
      </c>
      <c r="Q446"/>
      <c r="R446"/>
      <c r="S446"/>
      <c r="T446"/>
      <c r="U446"/>
      <c r="V446"/>
    </row>
    <row r="447" spans="1:22" x14ac:dyDescent="0.3">
      <c r="A447" s="1" t="str">
        <f t="shared" si="6"/>
        <v>DE1446</v>
      </c>
      <c r="B447" s="1" t="s">
        <v>41</v>
      </c>
      <c r="C447" s="1" t="s">
        <v>60</v>
      </c>
      <c r="D447" s="1" t="s">
        <v>40</v>
      </c>
      <c r="E447" s="2">
        <v>45456</v>
      </c>
      <c r="F447" s="1">
        <v>3</v>
      </c>
      <c r="G447" s="5">
        <v>1379</v>
      </c>
      <c r="H447" s="5">
        <v>4137</v>
      </c>
      <c r="I447" s="1" t="s">
        <v>27</v>
      </c>
      <c r="J447" s="1" t="s">
        <v>14</v>
      </c>
      <c r="K447" s="1" t="s">
        <v>28</v>
      </c>
      <c r="L447" s="1">
        <v>0</v>
      </c>
      <c r="M447" s="1" t="s">
        <v>23</v>
      </c>
      <c r="N447" s="1" t="str">
        <f>TEXT(tblbills[[#This Row],[Date]],"mmm")</f>
        <v>Jun</v>
      </c>
      <c r="O447" s="1" t="str">
        <f>TEXT(tblbills[[#This Row],[Date]],"yyyy")</f>
        <v>2024</v>
      </c>
      <c r="Q447"/>
      <c r="R447"/>
      <c r="S447"/>
      <c r="T447"/>
      <c r="U447"/>
      <c r="V447"/>
    </row>
    <row r="448" spans="1:22" x14ac:dyDescent="0.3">
      <c r="A448" s="1" t="str">
        <f t="shared" si="6"/>
        <v>DE1447</v>
      </c>
      <c r="B448" s="1" t="s">
        <v>41</v>
      </c>
      <c r="C448" s="1" t="s">
        <v>60</v>
      </c>
      <c r="D448" s="1" t="s">
        <v>77</v>
      </c>
      <c r="E448" s="2">
        <v>45453</v>
      </c>
      <c r="F448" s="1">
        <v>7</v>
      </c>
      <c r="G448" s="5">
        <v>2746</v>
      </c>
      <c r="H448" s="5">
        <v>19222</v>
      </c>
      <c r="I448" s="1" t="s">
        <v>22</v>
      </c>
      <c r="J448" s="1" t="s">
        <v>47</v>
      </c>
      <c r="K448" s="1" t="s">
        <v>28</v>
      </c>
      <c r="L448" s="1">
        <v>0</v>
      </c>
      <c r="M448" s="1" t="s">
        <v>44</v>
      </c>
      <c r="N448" s="1" t="str">
        <f>TEXT(tblbills[[#This Row],[Date]],"mmm")</f>
        <v>Jun</v>
      </c>
      <c r="O448" s="1" t="str">
        <f>TEXT(tblbills[[#This Row],[Date]],"yyyy")</f>
        <v>2024</v>
      </c>
      <c r="Q448"/>
      <c r="R448"/>
      <c r="S448"/>
      <c r="T448"/>
      <c r="U448"/>
      <c r="V448"/>
    </row>
    <row r="449" spans="1:22" x14ac:dyDescent="0.3">
      <c r="A449" s="1" t="str">
        <f t="shared" si="6"/>
        <v>DE1448</v>
      </c>
      <c r="B449" s="1" t="s">
        <v>41</v>
      </c>
      <c r="C449" s="1" t="s">
        <v>42</v>
      </c>
      <c r="D449" s="1" t="s">
        <v>65</v>
      </c>
      <c r="E449" s="2">
        <v>45452</v>
      </c>
      <c r="F449" s="1">
        <v>16</v>
      </c>
      <c r="G449" s="5">
        <v>717</v>
      </c>
      <c r="H449" s="5">
        <v>11472</v>
      </c>
      <c r="I449" s="1" t="s">
        <v>15</v>
      </c>
      <c r="J449" s="1" t="s">
        <v>47</v>
      </c>
      <c r="K449" s="1" t="s">
        <v>28</v>
      </c>
      <c r="L449" s="1">
        <v>0</v>
      </c>
      <c r="M449" s="1" t="s">
        <v>33</v>
      </c>
      <c r="N449" s="1" t="str">
        <f>TEXT(tblbills[[#This Row],[Date]],"mmm")</f>
        <v>Jun</v>
      </c>
      <c r="O449" s="1" t="str">
        <f>TEXT(tblbills[[#This Row],[Date]],"yyyy")</f>
        <v>2024</v>
      </c>
      <c r="Q449"/>
      <c r="R449"/>
      <c r="S449"/>
      <c r="T449"/>
      <c r="U449"/>
      <c r="V449"/>
    </row>
    <row r="450" spans="1:22" x14ac:dyDescent="0.3">
      <c r="A450" s="1" t="str">
        <f t="shared" si="6"/>
        <v>DE1449</v>
      </c>
      <c r="B450" s="1" t="s">
        <v>41</v>
      </c>
      <c r="C450" s="1" t="s">
        <v>71</v>
      </c>
      <c r="D450" s="1" t="s">
        <v>51</v>
      </c>
      <c r="E450" s="2">
        <v>45447</v>
      </c>
      <c r="F450" s="1">
        <v>13</v>
      </c>
      <c r="G450" s="5">
        <v>958</v>
      </c>
      <c r="H450" s="5">
        <v>12454</v>
      </c>
      <c r="I450" s="1" t="s">
        <v>27</v>
      </c>
      <c r="J450" s="1" t="s">
        <v>14</v>
      </c>
      <c r="K450" s="1" t="s">
        <v>16</v>
      </c>
      <c r="L450" s="1">
        <v>5</v>
      </c>
      <c r="M450" s="1" t="s">
        <v>44</v>
      </c>
      <c r="N450" s="1" t="str">
        <f>TEXT(tblbills[[#This Row],[Date]],"mmm")</f>
        <v>Jun</v>
      </c>
      <c r="O450" s="1" t="str">
        <f>TEXT(tblbills[[#This Row],[Date]],"yyyy")</f>
        <v>2024</v>
      </c>
      <c r="Q450"/>
      <c r="R450"/>
      <c r="S450"/>
      <c r="T450"/>
      <c r="U450"/>
      <c r="V450"/>
    </row>
    <row r="451" spans="1:22" x14ac:dyDescent="0.3">
      <c r="A451" s="1" t="str">
        <f>"DE"&amp;ROW()+999</f>
        <v>DE1450</v>
      </c>
      <c r="B451" s="1" t="s">
        <v>41</v>
      </c>
      <c r="C451" s="1" t="s">
        <v>71</v>
      </c>
      <c r="D451" s="1" t="s">
        <v>51</v>
      </c>
      <c r="E451" s="2">
        <v>45446</v>
      </c>
      <c r="F451" s="1">
        <v>5</v>
      </c>
      <c r="G451" s="5">
        <v>4206</v>
      </c>
      <c r="H451" s="5">
        <v>21030</v>
      </c>
      <c r="I451" s="1" t="s">
        <v>15</v>
      </c>
      <c r="J451" s="1" t="s">
        <v>14</v>
      </c>
      <c r="K451" s="1" t="s">
        <v>32</v>
      </c>
      <c r="L451" s="1">
        <v>10</v>
      </c>
      <c r="M451" s="1" t="s">
        <v>17</v>
      </c>
      <c r="N451" s="1" t="str">
        <f>TEXT(tblbills[[#This Row],[Date]],"mmm")</f>
        <v>Jun</v>
      </c>
      <c r="O451" s="1" t="str">
        <f>TEXT(tblbills[[#This Row],[Date]],"yyyy")</f>
        <v>2024</v>
      </c>
      <c r="Q451"/>
      <c r="R451"/>
      <c r="S451"/>
      <c r="T451"/>
      <c r="U451"/>
      <c r="V451"/>
    </row>
    <row r="452" spans="1:22" x14ac:dyDescent="0.3">
      <c r="B452"/>
      <c r="C452" s="1"/>
      <c r="D452" s="1"/>
      <c r="E452" s="2"/>
      <c r="F452" s="1"/>
      <c r="G452" s="5"/>
      <c r="H452" s="5"/>
      <c r="I452" s="1"/>
      <c r="J452" s="1"/>
      <c r="K452" s="1"/>
      <c r="L452" s="1"/>
      <c r="M452" s="1"/>
      <c r="N452" s="1"/>
      <c r="O452"/>
      <c r="Q452"/>
      <c r="R452"/>
      <c r="S452"/>
      <c r="T452"/>
      <c r="U452"/>
      <c r="V452"/>
    </row>
    <row r="453" spans="1:22" x14ac:dyDescent="0.3">
      <c r="B453"/>
      <c r="C453" s="1"/>
      <c r="D453" s="1"/>
      <c r="E453" s="2"/>
      <c r="F453" s="1"/>
      <c r="G453" s="5"/>
      <c r="H453" s="5"/>
      <c r="I453" s="1"/>
      <c r="J453" s="1"/>
      <c r="K453" s="1"/>
      <c r="L453" s="1"/>
      <c r="M453" s="1"/>
      <c r="N453" s="1"/>
      <c r="O453"/>
      <c r="Q453"/>
      <c r="R453"/>
      <c r="S453"/>
      <c r="T453"/>
      <c r="U453"/>
      <c r="V453"/>
    </row>
    <row r="454" spans="1:22" x14ac:dyDescent="0.3">
      <c r="B454"/>
      <c r="C454" s="1"/>
      <c r="D454" s="1"/>
      <c r="E454" s="2"/>
      <c r="F454" s="1"/>
      <c r="G454" s="5"/>
      <c r="H454" s="5"/>
      <c r="I454" s="1"/>
      <c r="J454" s="1"/>
      <c r="K454" s="1"/>
      <c r="L454" s="1"/>
      <c r="M454" s="1"/>
      <c r="N454" s="1"/>
      <c r="O454"/>
      <c r="Q454"/>
      <c r="R454"/>
      <c r="S454"/>
      <c r="T454"/>
      <c r="U454"/>
      <c r="V454"/>
    </row>
    <row r="455" spans="1:22" x14ac:dyDescent="0.3">
      <c r="B455"/>
      <c r="C455" s="1"/>
      <c r="D455" s="1"/>
      <c r="E455" s="2"/>
      <c r="F455" s="1"/>
      <c r="G455" s="5"/>
      <c r="H455" s="5"/>
      <c r="I455" s="1"/>
      <c r="J455" s="1"/>
      <c r="K455" s="1"/>
      <c r="L455" s="1"/>
      <c r="M455" s="1"/>
      <c r="N455" s="1"/>
      <c r="O455"/>
      <c r="Q455"/>
      <c r="R455"/>
      <c r="S455"/>
      <c r="T455"/>
      <c r="U455"/>
      <c r="V455"/>
    </row>
    <row r="456" spans="1:22" x14ac:dyDescent="0.3">
      <c r="B456"/>
      <c r="C456" s="1"/>
      <c r="D456" s="1"/>
      <c r="E456" s="2"/>
      <c r="F456" s="1"/>
      <c r="G456" s="5"/>
      <c r="H456" s="5"/>
      <c r="I456" s="1"/>
      <c r="J456" s="1"/>
      <c r="K456" s="1"/>
      <c r="L456" s="1"/>
      <c r="M456" s="1"/>
      <c r="N456" s="1"/>
      <c r="O456"/>
      <c r="Q456"/>
      <c r="R456"/>
      <c r="S456"/>
      <c r="T456"/>
      <c r="U456"/>
      <c r="V456"/>
    </row>
    <row r="457" spans="1:22" x14ac:dyDescent="0.3">
      <c r="B457"/>
      <c r="C457" s="1"/>
      <c r="D457" s="1"/>
      <c r="E457" s="2"/>
      <c r="F457" s="1"/>
      <c r="G457" s="5"/>
      <c r="H457" s="5"/>
      <c r="I457" s="1"/>
      <c r="J457" s="1"/>
      <c r="K457" s="1"/>
      <c r="L457" s="1"/>
      <c r="M457" s="1"/>
      <c r="N457" s="1"/>
      <c r="O457"/>
      <c r="Q457"/>
      <c r="R457"/>
      <c r="S457"/>
      <c r="T457"/>
      <c r="U457"/>
      <c r="V457"/>
    </row>
    <row r="458" spans="1:22" x14ac:dyDescent="0.3">
      <c r="B458"/>
      <c r="C458" s="1"/>
      <c r="D458" s="1"/>
      <c r="E458" s="2"/>
      <c r="F458" s="1"/>
      <c r="G458" s="5"/>
      <c r="H458" s="5"/>
      <c r="I458" s="1"/>
      <c r="J458" s="1"/>
      <c r="K458" s="1"/>
      <c r="L458" s="1"/>
      <c r="M458" s="1"/>
      <c r="N458" s="1"/>
      <c r="O458"/>
      <c r="Q458"/>
      <c r="R458"/>
      <c r="S458"/>
      <c r="T458"/>
      <c r="U458"/>
      <c r="V458"/>
    </row>
    <row r="459" spans="1:22" x14ac:dyDescent="0.3">
      <c r="B459"/>
      <c r="C459" s="1"/>
      <c r="D459" s="1"/>
      <c r="E459" s="2"/>
      <c r="F459" s="1"/>
      <c r="G459" s="5"/>
      <c r="H459" s="5"/>
      <c r="I459" s="1"/>
      <c r="J459" s="1"/>
      <c r="K459" s="1"/>
      <c r="L459" s="1"/>
      <c r="M459" s="1"/>
      <c r="N459" s="1"/>
      <c r="O459"/>
      <c r="Q459"/>
      <c r="R459"/>
      <c r="S459"/>
      <c r="T459"/>
      <c r="U459"/>
      <c r="V459"/>
    </row>
    <row r="460" spans="1:22" x14ac:dyDescent="0.3">
      <c r="B460"/>
      <c r="C460" s="1"/>
      <c r="D460" s="1"/>
      <c r="E460" s="2"/>
      <c r="F460" s="1"/>
      <c r="G460" s="5"/>
      <c r="H460" s="5"/>
      <c r="I460" s="1"/>
      <c r="J460" s="1"/>
      <c r="K460" s="1"/>
      <c r="L460" s="1"/>
      <c r="M460" s="1"/>
      <c r="N460" s="1"/>
      <c r="O460"/>
      <c r="Q460"/>
      <c r="R460"/>
      <c r="S460"/>
      <c r="T460"/>
      <c r="U460"/>
      <c r="V460"/>
    </row>
    <row r="461" spans="1:22" x14ac:dyDescent="0.3">
      <c r="B461"/>
      <c r="C461" s="1"/>
      <c r="D461" s="1"/>
      <c r="E461" s="2"/>
      <c r="F461" s="1"/>
      <c r="G461" s="5"/>
      <c r="H461" s="5"/>
      <c r="I461" s="1"/>
      <c r="J461" s="1"/>
      <c r="K461" s="1"/>
      <c r="L461" s="1"/>
      <c r="M461" s="1"/>
      <c r="N461" s="1"/>
      <c r="O461"/>
      <c r="Q461"/>
      <c r="R461"/>
      <c r="S461"/>
      <c r="T461"/>
      <c r="U461"/>
      <c r="V461"/>
    </row>
    <row r="462" spans="1:22" x14ac:dyDescent="0.3">
      <c r="B462"/>
      <c r="C462" s="1"/>
      <c r="D462" s="1"/>
      <c r="E462" s="2"/>
      <c r="F462" s="1"/>
      <c r="G462" s="5"/>
      <c r="H462" s="5"/>
      <c r="I462" s="1"/>
      <c r="J462" s="1"/>
      <c r="K462" s="1"/>
      <c r="L462" s="1"/>
      <c r="M462" s="1"/>
      <c r="N462" s="1"/>
      <c r="O462"/>
      <c r="Q462"/>
      <c r="R462"/>
      <c r="S462"/>
      <c r="T462"/>
      <c r="U462"/>
      <c r="V462"/>
    </row>
    <row r="463" spans="1:22" x14ac:dyDescent="0.3">
      <c r="B463"/>
      <c r="C463" s="1"/>
      <c r="D463" s="1"/>
      <c r="E463" s="2"/>
      <c r="F463" s="1"/>
      <c r="G463" s="5"/>
      <c r="H463" s="5"/>
      <c r="I463" s="1"/>
      <c r="J463" s="1"/>
      <c r="K463" s="1"/>
      <c r="L463" s="1"/>
      <c r="M463" s="1"/>
      <c r="N463" s="1"/>
      <c r="O463"/>
      <c r="Q463"/>
      <c r="R463"/>
      <c r="S463"/>
      <c r="T463"/>
      <c r="U463"/>
      <c r="V463"/>
    </row>
    <row r="464" spans="1:22" x14ac:dyDescent="0.3">
      <c r="B464"/>
      <c r="C464" s="1"/>
      <c r="D464" s="1"/>
      <c r="E464" s="2"/>
      <c r="F464" s="1"/>
      <c r="G464" s="5"/>
      <c r="H464" s="5"/>
      <c r="I464" s="1"/>
      <c r="J464" s="1"/>
      <c r="K464" s="1"/>
      <c r="L464" s="1"/>
      <c r="M464" s="1"/>
      <c r="N464" s="1"/>
      <c r="O464"/>
      <c r="Q464"/>
      <c r="R464"/>
      <c r="S464"/>
      <c r="T464"/>
      <c r="U464"/>
      <c r="V464"/>
    </row>
    <row r="465" spans="2:22" x14ac:dyDescent="0.3">
      <c r="B465"/>
      <c r="C465" s="1"/>
      <c r="D465" s="1"/>
      <c r="E465" s="2"/>
      <c r="F465" s="1"/>
      <c r="G465" s="5"/>
      <c r="H465" s="5"/>
      <c r="I465" s="1"/>
      <c r="J465" s="1"/>
      <c r="K465" s="1"/>
      <c r="L465" s="1"/>
      <c r="M465" s="1"/>
      <c r="N465" s="1"/>
      <c r="O465"/>
      <c r="Q465"/>
      <c r="R465"/>
      <c r="S465"/>
      <c r="T465"/>
      <c r="U465"/>
      <c r="V465"/>
    </row>
    <row r="466" spans="2:22" x14ac:dyDescent="0.3">
      <c r="B466"/>
      <c r="C466" s="1"/>
      <c r="D466" s="1"/>
      <c r="E466" s="2"/>
      <c r="F466" s="1"/>
      <c r="G466" s="5"/>
      <c r="H466" s="5"/>
      <c r="I466" s="1"/>
      <c r="J466" s="1"/>
      <c r="K466" s="1"/>
      <c r="L466" s="1"/>
      <c r="M466" s="1"/>
      <c r="N466" s="1"/>
      <c r="O466"/>
      <c r="Q466"/>
      <c r="R466"/>
      <c r="S466"/>
      <c r="T466"/>
      <c r="U466"/>
      <c r="V466"/>
    </row>
    <row r="467" spans="2:22" x14ac:dyDescent="0.3">
      <c r="B467"/>
      <c r="C467" s="1"/>
      <c r="D467" s="1"/>
      <c r="E467" s="2"/>
      <c r="F467" s="1"/>
      <c r="G467" s="5"/>
      <c r="H467" s="5"/>
      <c r="I467" s="1"/>
      <c r="J467" s="1"/>
      <c r="K467" s="1"/>
      <c r="L467" s="1"/>
      <c r="M467" s="1"/>
      <c r="N467" s="1"/>
      <c r="O467"/>
      <c r="Q467"/>
      <c r="R467"/>
      <c r="S467"/>
      <c r="T467"/>
      <c r="U467"/>
      <c r="V467"/>
    </row>
    <row r="468" spans="2:22" x14ac:dyDescent="0.3">
      <c r="B468"/>
      <c r="C468" s="1"/>
      <c r="D468" s="1"/>
      <c r="E468" s="2"/>
      <c r="F468" s="1"/>
      <c r="G468" s="5"/>
      <c r="H468" s="5"/>
      <c r="I468" s="1"/>
      <c r="J468" s="1"/>
      <c r="K468" s="1"/>
      <c r="L468" s="1"/>
      <c r="M468" s="1"/>
      <c r="N468" s="1"/>
      <c r="O468"/>
      <c r="Q468"/>
      <c r="R468"/>
      <c r="S468"/>
      <c r="T468"/>
      <c r="U468"/>
      <c r="V468"/>
    </row>
    <row r="469" spans="2:22" x14ac:dyDescent="0.3">
      <c r="B469"/>
      <c r="C469" s="1"/>
      <c r="D469" s="1"/>
      <c r="E469" s="2"/>
      <c r="F469" s="1"/>
      <c r="G469" s="5"/>
      <c r="H469" s="5"/>
      <c r="I469" s="1"/>
      <c r="J469" s="1"/>
      <c r="K469" s="1"/>
      <c r="L469" s="1"/>
      <c r="M469" s="1"/>
      <c r="N469" s="1"/>
      <c r="O469"/>
      <c r="Q469"/>
      <c r="R469"/>
      <c r="S469"/>
      <c r="T469"/>
      <c r="U469"/>
      <c r="V469"/>
    </row>
    <row r="470" spans="2:22" x14ac:dyDescent="0.3">
      <c r="B470"/>
      <c r="C470" s="1"/>
      <c r="D470" s="1"/>
      <c r="E470" s="2"/>
      <c r="F470" s="1"/>
      <c r="G470" s="5"/>
      <c r="H470" s="5"/>
      <c r="I470" s="1"/>
      <c r="J470" s="1"/>
      <c r="K470" s="1"/>
      <c r="L470" s="1"/>
      <c r="M470" s="1"/>
      <c r="N470" s="1"/>
      <c r="O470"/>
      <c r="Q470"/>
      <c r="R470"/>
      <c r="S470"/>
      <c r="T470"/>
      <c r="U470"/>
      <c r="V470"/>
    </row>
    <row r="471" spans="2:22" x14ac:dyDescent="0.3">
      <c r="B471"/>
      <c r="C471" s="1"/>
      <c r="D471" s="1"/>
      <c r="E471" s="2"/>
      <c r="F471" s="1"/>
      <c r="G471" s="5"/>
      <c r="H471" s="5"/>
      <c r="I471" s="1"/>
      <c r="J471" s="1"/>
      <c r="K471" s="1"/>
      <c r="L471" s="1"/>
      <c r="M471" s="1"/>
      <c r="N471" s="1"/>
      <c r="O471"/>
      <c r="Q471"/>
      <c r="R471"/>
      <c r="S471"/>
      <c r="T471"/>
      <c r="U471"/>
      <c r="V471"/>
    </row>
    <row r="472" spans="2:22" x14ac:dyDescent="0.3">
      <c r="B472"/>
      <c r="C472" s="1"/>
      <c r="D472" s="1"/>
      <c r="E472" s="2"/>
      <c r="F472" s="1"/>
      <c r="G472" s="5"/>
      <c r="H472" s="5"/>
      <c r="I472" s="1"/>
      <c r="J472" s="1"/>
      <c r="K472" s="1"/>
      <c r="L472" s="1"/>
      <c r="M472" s="1"/>
      <c r="N472" s="1"/>
      <c r="O472"/>
      <c r="Q472"/>
      <c r="R472"/>
      <c r="S472"/>
      <c r="T472"/>
      <c r="U472"/>
      <c r="V472"/>
    </row>
    <row r="473" spans="2:22" x14ac:dyDescent="0.3">
      <c r="B473"/>
      <c r="C473" s="1"/>
      <c r="D473" s="1"/>
      <c r="E473" s="2"/>
      <c r="F473" s="1"/>
      <c r="G473" s="5"/>
      <c r="H473" s="5"/>
      <c r="I473" s="1"/>
      <c r="J473" s="1"/>
      <c r="K473" s="1"/>
      <c r="L473" s="1"/>
      <c r="M473" s="1"/>
      <c r="N473" s="1"/>
      <c r="O473"/>
      <c r="Q473"/>
      <c r="R473"/>
      <c r="S473"/>
      <c r="T473"/>
      <c r="U473"/>
      <c r="V473"/>
    </row>
    <row r="474" spans="2:22" x14ac:dyDescent="0.3">
      <c r="B474"/>
      <c r="C474" s="1"/>
      <c r="D474" s="1"/>
      <c r="E474" s="2"/>
      <c r="F474" s="1"/>
      <c r="G474" s="5"/>
      <c r="H474" s="5"/>
      <c r="I474" s="1"/>
      <c r="J474" s="1"/>
      <c r="K474" s="1"/>
      <c r="L474" s="1"/>
      <c r="M474" s="1"/>
      <c r="N474" s="1"/>
      <c r="O474"/>
      <c r="Q474"/>
      <c r="R474"/>
      <c r="S474"/>
      <c r="T474"/>
      <c r="U474"/>
      <c r="V474"/>
    </row>
    <row r="475" spans="2:22" x14ac:dyDescent="0.3">
      <c r="B475"/>
      <c r="C475" s="1"/>
      <c r="D475" s="1"/>
      <c r="E475" s="2"/>
      <c r="F475" s="1"/>
      <c r="G475" s="5"/>
      <c r="H475" s="5"/>
      <c r="I475" s="1"/>
      <c r="J475" s="1"/>
      <c r="K475" s="1"/>
      <c r="L475" s="1"/>
      <c r="M475" s="1"/>
      <c r="N475" s="1"/>
      <c r="O475"/>
      <c r="Q475"/>
      <c r="R475"/>
      <c r="S475"/>
      <c r="T475"/>
      <c r="U475"/>
      <c r="V475"/>
    </row>
    <row r="476" spans="2:22" x14ac:dyDescent="0.3">
      <c r="B476"/>
      <c r="C476" s="1"/>
      <c r="D476" s="1"/>
      <c r="E476" s="2"/>
      <c r="F476" s="1"/>
      <c r="G476" s="5"/>
      <c r="H476" s="5"/>
      <c r="I476" s="1"/>
      <c r="J476" s="1"/>
      <c r="K476" s="1"/>
      <c r="L476" s="1"/>
      <c r="M476" s="1"/>
      <c r="N476" s="1"/>
      <c r="O476"/>
      <c r="Q476"/>
      <c r="R476"/>
      <c r="S476"/>
      <c r="T476"/>
      <c r="U476"/>
      <c r="V476"/>
    </row>
    <row r="477" spans="2:22" x14ac:dyDescent="0.3">
      <c r="B477"/>
      <c r="C477" s="1"/>
      <c r="D477" s="1"/>
      <c r="E477" s="2"/>
      <c r="F477" s="1"/>
      <c r="G477" s="5"/>
      <c r="H477" s="5"/>
      <c r="I477" s="1"/>
      <c r="J477" s="1"/>
      <c r="K477" s="1"/>
      <c r="L477" s="1"/>
      <c r="M477" s="1"/>
      <c r="N477" s="1"/>
      <c r="O477"/>
      <c r="Q477"/>
      <c r="R477"/>
      <c r="S477"/>
      <c r="T477"/>
      <c r="U477"/>
      <c r="V477"/>
    </row>
    <row r="478" spans="2:22" x14ac:dyDescent="0.3">
      <c r="B478"/>
      <c r="C478" s="1"/>
      <c r="D478" s="1"/>
      <c r="E478" s="2"/>
      <c r="F478" s="1"/>
      <c r="G478" s="5"/>
      <c r="H478" s="5"/>
      <c r="I478" s="1"/>
      <c r="J478" s="1"/>
      <c r="K478" s="1"/>
      <c r="L478" s="1"/>
      <c r="M478" s="1"/>
      <c r="N478" s="1"/>
      <c r="O478"/>
      <c r="Q478"/>
      <c r="R478"/>
      <c r="S478"/>
      <c r="T478"/>
      <c r="U478"/>
      <c r="V478"/>
    </row>
    <row r="479" spans="2:22" x14ac:dyDescent="0.3">
      <c r="B479"/>
      <c r="C479" s="1"/>
      <c r="D479" s="1"/>
      <c r="E479" s="2"/>
      <c r="F479" s="1"/>
      <c r="G479" s="5"/>
      <c r="H479" s="5"/>
      <c r="I479" s="1"/>
      <c r="J479" s="1"/>
      <c r="K479" s="1"/>
      <c r="L479" s="1"/>
      <c r="M479" s="1"/>
      <c r="N479" s="1"/>
      <c r="O479"/>
      <c r="Q479"/>
      <c r="R479"/>
      <c r="S479"/>
      <c r="T479"/>
      <c r="U479"/>
      <c r="V479"/>
    </row>
    <row r="480" spans="2:22" x14ac:dyDescent="0.3">
      <c r="B480"/>
      <c r="C480" s="1"/>
      <c r="D480" s="1"/>
      <c r="E480" s="2"/>
      <c r="F480" s="1"/>
      <c r="G480" s="5"/>
      <c r="H480" s="5"/>
      <c r="I480" s="1"/>
      <c r="J480" s="1"/>
      <c r="K480" s="1"/>
      <c r="L480" s="1"/>
      <c r="M480" s="1"/>
      <c r="N480" s="1"/>
      <c r="O480"/>
      <c r="Q480"/>
      <c r="R480"/>
      <c r="S480"/>
      <c r="T480"/>
      <c r="U480"/>
      <c r="V480"/>
    </row>
    <row r="481" spans="2:22" x14ac:dyDescent="0.3">
      <c r="B481"/>
      <c r="C481" s="1"/>
      <c r="D481" s="1"/>
      <c r="E481" s="2"/>
      <c r="F481" s="1"/>
      <c r="G481" s="5"/>
      <c r="H481" s="5"/>
      <c r="I481" s="1"/>
      <c r="J481" s="1"/>
      <c r="K481" s="1"/>
      <c r="L481" s="1"/>
      <c r="M481" s="1"/>
      <c r="N481" s="1"/>
      <c r="O481"/>
      <c r="Q481"/>
      <c r="R481"/>
      <c r="S481"/>
      <c r="T481"/>
      <c r="U481"/>
      <c r="V481"/>
    </row>
    <row r="482" spans="2:22" x14ac:dyDescent="0.3">
      <c r="B482"/>
      <c r="C482" s="1"/>
      <c r="D482" s="1"/>
      <c r="E482" s="2"/>
      <c r="F482" s="1"/>
      <c r="G482" s="5"/>
      <c r="H482" s="5"/>
      <c r="I482" s="1"/>
      <c r="J482" s="1"/>
      <c r="K482" s="1"/>
      <c r="L482" s="1"/>
      <c r="M482" s="1"/>
      <c r="N482" s="1"/>
      <c r="O482"/>
      <c r="Q482"/>
      <c r="R482"/>
      <c r="S482"/>
      <c r="T482"/>
      <c r="U482"/>
      <c r="V482"/>
    </row>
    <row r="483" spans="2:22" x14ac:dyDescent="0.3">
      <c r="B483"/>
      <c r="C483" s="1"/>
      <c r="D483" s="1"/>
      <c r="E483" s="2"/>
      <c r="F483" s="1"/>
      <c r="G483" s="5"/>
      <c r="H483" s="5"/>
      <c r="I483" s="1"/>
      <c r="J483" s="1"/>
      <c r="K483" s="1"/>
      <c r="L483" s="1"/>
      <c r="M483" s="1"/>
      <c r="N483" s="1"/>
      <c r="O483"/>
      <c r="Q483"/>
      <c r="R483"/>
      <c r="S483"/>
      <c r="T483"/>
      <c r="U483"/>
      <c r="V483"/>
    </row>
    <row r="484" spans="2:22" x14ac:dyDescent="0.3">
      <c r="B484"/>
      <c r="C484" s="1"/>
      <c r="D484" s="1"/>
      <c r="E484" s="2"/>
      <c r="F484" s="1"/>
      <c r="G484" s="5"/>
      <c r="H484" s="5"/>
      <c r="I484" s="1"/>
      <c r="J484" s="1"/>
      <c r="K484" s="1"/>
      <c r="L484" s="1"/>
      <c r="M484" s="1"/>
      <c r="N484" s="1"/>
      <c r="O484"/>
      <c r="Q484"/>
      <c r="R484"/>
      <c r="S484"/>
      <c r="T484"/>
      <c r="U484"/>
      <c r="V484"/>
    </row>
    <row r="485" spans="2:22" x14ac:dyDescent="0.3">
      <c r="B485"/>
      <c r="C485" s="1"/>
      <c r="D485" s="1"/>
      <c r="E485" s="2"/>
      <c r="F485" s="1"/>
      <c r="G485" s="5"/>
      <c r="H485" s="5"/>
      <c r="I485" s="1"/>
      <c r="J485" s="1"/>
      <c r="K485" s="1"/>
      <c r="L485" s="1"/>
      <c r="M485" s="1"/>
      <c r="N485" s="1"/>
      <c r="O485"/>
      <c r="Q485"/>
      <c r="R485"/>
      <c r="S485"/>
      <c r="T485"/>
      <c r="U485"/>
      <c r="V485"/>
    </row>
    <row r="486" spans="2:22" x14ac:dyDescent="0.3">
      <c r="B486"/>
      <c r="C486" s="1"/>
      <c r="D486" s="1"/>
      <c r="E486" s="2"/>
      <c r="F486" s="1"/>
      <c r="G486" s="5"/>
      <c r="H486" s="5"/>
      <c r="I486" s="1"/>
      <c r="J486" s="1"/>
      <c r="K486" s="1"/>
      <c r="L486" s="1"/>
      <c r="M486" s="1"/>
      <c r="N486" s="1"/>
      <c r="O486"/>
      <c r="Q486"/>
      <c r="R486"/>
      <c r="S486"/>
      <c r="T486"/>
      <c r="U486"/>
      <c r="V486"/>
    </row>
    <row r="487" spans="2:22" x14ac:dyDescent="0.3">
      <c r="B487"/>
      <c r="C487" s="1"/>
      <c r="D487" s="1"/>
      <c r="E487" s="2"/>
      <c r="F487" s="1"/>
      <c r="G487" s="5"/>
      <c r="H487" s="5"/>
      <c r="I487" s="1"/>
      <c r="J487" s="1"/>
      <c r="K487" s="1"/>
      <c r="L487" s="1"/>
      <c r="M487" s="1"/>
      <c r="N487" s="1"/>
      <c r="O487"/>
      <c r="Q487"/>
      <c r="R487"/>
      <c r="S487"/>
      <c r="T487"/>
      <c r="U487"/>
      <c r="V487"/>
    </row>
    <row r="488" spans="2:22" x14ac:dyDescent="0.3">
      <c r="B488"/>
      <c r="C488" s="1"/>
      <c r="D488" s="1"/>
      <c r="E488" s="2"/>
      <c r="F488" s="1"/>
      <c r="G488" s="5"/>
      <c r="H488" s="5"/>
      <c r="I488" s="1"/>
      <c r="J488" s="1"/>
      <c r="K488" s="1"/>
      <c r="L488" s="1"/>
      <c r="M488" s="1"/>
      <c r="N488" s="1"/>
      <c r="O488"/>
      <c r="Q488"/>
      <c r="R488"/>
      <c r="S488"/>
      <c r="T488"/>
      <c r="U488"/>
      <c r="V488"/>
    </row>
    <row r="489" spans="2:22" x14ac:dyDescent="0.3">
      <c r="B489"/>
      <c r="C489" s="1"/>
      <c r="D489" s="1"/>
      <c r="E489" s="2"/>
      <c r="F489" s="1"/>
      <c r="G489" s="5"/>
      <c r="H489" s="5"/>
      <c r="I489" s="1"/>
      <c r="J489" s="1"/>
      <c r="K489" s="1"/>
      <c r="L489" s="1"/>
      <c r="M489" s="1"/>
      <c r="N489" s="1"/>
      <c r="O489"/>
      <c r="Q489"/>
      <c r="R489"/>
      <c r="S489"/>
      <c r="T489"/>
      <c r="U489"/>
      <c r="V489"/>
    </row>
    <row r="490" spans="2:22" x14ac:dyDescent="0.3">
      <c r="B490"/>
      <c r="C490" s="1"/>
      <c r="D490" s="1"/>
      <c r="E490" s="2"/>
      <c r="F490" s="1"/>
      <c r="G490" s="5"/>
      <c r="H490" s="5"/>
      <c r="I490" s="1"/>
      <c r="J490" s="1"/>
      <c r="K490" s="1"/>
      <c r="L490" s="1"/>
      <c r="M490" s="1"/>
      <c r="N490" s="1"/>
      <c r="O490"/>
      <c r="Q490"/>
      <c r="R490"/>
      <c r="S490"/>
      <c r="T490"/>
      <c r="U490"/>
      <c r="V490"/>
    </row>
    <row r="491" spans="2:22" x14ac:dyDescent="0.3">
      <c r="B491"/>
      <c r="C491" s="1"/>
      <c r="D491" s="1"/>
      <c r="E491" s="2"/>
      <c r="F491" s="1"/>
      <c r="G491" s="5"/>
      <c r="H491" s="5"/>
      <c r="I491" s="1"/>
      <c r="J491" s="1"/>
      <c r="K491" s="1"/>
      <c r="L491" s="1"/>
      <c r="M491" s="1"/>
      <c r="N491" s="1"/>
      <c r="O491"/>
      <c r="Q491"/>
      <c r="R491"/>
      <c r="S491"/>
      <c r="T491"/>
      <c r="U491"/>
      <c r="V491"/>
    </row>
    <row r="492" spans="2:22" x14ac:dyDescent="0.3">
      <c r="B492"/>
      <c r="C492" s="1"/>
      <c r="D492" s="1"/>
      <c r="E492" s="2"/>
      <c r="F492" s="1"/>
      <c r="G492" s="5"/>
      <c r="H492" s="5"/>
      <c r="I492" s="1"/>
      <c r="J492" s="1"/>
      <c r="K492" s="1"/>
      <c r="L492" s="1"/>
      <c r="M492" s="1"/>
      <c r="N492" s="1"/>
      <c r="O492"/>
      <c r="Q492"/>
      <c r="R492"/>
      <c r="S492"/>
      <c r="T492"/>
      <c r="U492"/>
      <c r="V492"/>
    </row>
    <row r="493" spans="2:22" x14ac:dyDescent="0.3">
      <c r="B493"/>
      <c r="C493" s="1"/>
      <c r="D493" s="1"/>
      <c r="E493" s="2"/>
      <c r="F493" s="1"/>
      <c r="G493" s="5"/>
      <c r="H493" s="5"/>
      <c r="I493" s="1"/>
      <c r="J493" s="1"/>
      <c r="K493" s="1"/>
      <c r="L493" s="1"/>
      <c r="M493" s="1"/>
      <c r="N493" s="1"/>
      <c r="O493"/>
      <c r="Q493"/>
      <c r="R493"/>
      <c r="S493"/>
      <c r="T493"/>
      <c r="U493"/>
      <c r="V493"/>
    </row>
    <row r="494" spans="2:22" x14ac:dyDescent="0.3">
      <c r="B494"/>
      <c r="C494" s="1"/>
      <c r="D494" s="1"/>
      <c r="E494" s="2"/>
      <c r="F494" s="1"/>
      <c r="G494" s="5"/>
      <c r="H494" s="5"/>
      <c r="I494" s="1"/>
      <c r="J494" s="1"/>
      <c r="K494" s="1"/>
      <c r="L494" s="1"/>
      <c r="M494" s="1"/>
      <c r="N494" s="1"/>
      <c r="O494"/>
      <c r="Q494"/>
      <c r="R494"/>
      <c r="S494"/>
      <c r="T494"/>
      <c r="U494"/>
      <c r="V494"/>
    </row>
    <row r="495" spans="2:22" x14ac:dyDescent="0.3">
      <c r="B495"/>
      <c r="C495" s="1"/>
      <c r="D495" s="1"/>
      <c r="E495" s="2"/>
      <c r="F495" s="1"/>
      <c r="G495" s="5"/>
      <c r="H495" s="5"/>
      <c r="I495" s="1"/>
      <c r="J495" s="1"/>
      <c r="K495" s="1"/>
      <c r="L495" s="1"/>
      <c r="M495" s="1"/>
      <c r="N495" s="1"/>
      <c r="O495"/>
      <c r="Q495"/>
      <c r="R495"/>
      <c r="S495"/>
      <c r="T495"/>
      <c r="U495"/>
      <c r="V495"/>
    </row>
    <row r="496" spans="2:22" x14ac:dyDescent="0.3">
      <c r="B496"/>
      <c r="C496" s="1"/>
      <c r="D496" s="1"/>
      <c r="E496" s="2"/>
      <c r="F496" s="1"/>
      <c r="G496" s="5"/>
      <c r="H496" s="5"/>
      <c r="I496" s="1"/>
      <c r="J496" s="1"/>
      <c r="K496" s="1"/>
      <c r="L496" s="1"/>
      <c r="M496" s="1"/>
      <c r="N496" s="1"/>
      <c r="O496"/>
      <c r="Q496"/>
      <c r="R496"/>
      <c r="S496"/>
      <c r="T496"/>
      <c r="U496"/>
      <c r="V496"/>
    </row>
    <row r="497" spans="2:22" x14ac:dyDescent="0.3">
      <c r="B497"/>
      <c r="C497" s="1"/>
      <c r="D497" s="1"/>
      <c r="E497" s="2"/>
      <c r="F497" s="1"/>
      <c r="G497" s="5"/>
      <c r="H497" s="5"/>
      <c r="I497" s="1"/>
      <c r="J497" s="1"/>
      <c r="K497" s="1"/>
      <c r="L497" s="1"/>
      <c r="M497" s="1"/>
      <c r="N497" s="1"/>
      <c r="O497"/>
      <c r="Q497"/>
      <c r="R497"/>
      <c r="S497"/>
      <c r="T497"/>
      <c r="U497"/>
      <c r="V497"/>
    </row>
    <row r="498" spans="2:22" x14ac:dyDescent="0.3">
      <c r="B498"/>
      <c r="C498" s="1"/>
      <c r="D498" s="1"/>
      <c r="E498" s="2"/>
      <c r="F498" s="1"/>
      <c r="G498" s="5"/>
      <c r="H498" s="5"/>
      <c r="I498" s="1"/>
      <c r="J498" s="1"/>
      <c r="K498" s="1"/>
      <c r="L498" s="1"/>
      <c r="M498" s="1"/>
      <c r="N498" s="1"/>
      <c r="O498"/>
      <c r="Q498"/>
      <c r="R498"/>
      <c r="S498"/>
      <c r="T498"/>
      <c r="U498"/>
      <c r="V498"/>
    </row>
    <row r="499" spans="2:22" x14ac:dyDescent="0.3">
      <c r="B499"/>
      <c r="C499" s="1"/>
      <c r="D499" s="1"/>
      <c r="E499" s="2"/>
      <c r="F499" s="1"/>
      <c r="G499" s="5"/>
      <c r="H499" s="5"/>
      <c r="I499" s="1"/>
      <c r="J499" s="1"/>
      <c r="K499" s="1"/>
      <c r="L499" s="1"/>
      <c r="M499" s="1"/>
      <c r="N499" s="1"/>
      <c r="O499"/>
      <c r="Q499"/>
      <c r="R499"/>
      <c r="S499"/>
      <c r="T499"/>
      <c r="U499"/>
      <c r="V499"/>
    </row>
    <row r="500" spans="2:22" x14ac:dyDescent="0.3">
      <c r="B500"/>
      <c r="C500" s="1"/>
      <c r="D500" s="1"/>
      <c r="E500" s="2"/>
      <c r="F500" s="1"/>
      <c r="G500" s="5"/>
      <c r="H500" s="5"/>
      <c r="I500" s="1"/>
      <c r="J500" s="1"/>
      <c r="K500" s="1"/>
      <c r="L500" s="1"/>
      <c r="M500" s="1"/>
      <c r="N500" s="1"/>
      <c r="O500"/>
      <c r="Q500"/>
      <c r="R500"/>
      <c r="S500"/>
      <c r="T500"/>
      <c r="U500"/>
      <c r="V500"/>
    </row>
    <row r="501" spans="2:22" x14ac:dyDescent="0.3">
      <c r="B501"/>
      <c r="C501" s="1"/>
      <c r="D501" s="1"/>
      <c r="E501" s="2"/>
      <c r="F501" s="1"/>
      <c r="G501" s="5"/>
      <c r="H501" s="5"/>
      <c r="I501" s="1"/>
      <c r="J501" s="1"/>
      <c r="K501" s="1"/>
      <c r="L501" s="1"/>
      <c r="M501" s="1"/>
      <c r="N501" s="1"/>
      <c r="O501"/>
      <c r="Q501"/>
      <c r="R501"/>
      <c r="S501"/>
      <c r="T501"/>
      <c r="U501"/>
      <c r="V501"/>
    </row>
    <row r="502" spans="2:22" x14ac:dyDescent="0.3">
      <c r="B502"/>
      <c r="C502" s="1"/>
      <c r="D502" s="1"/>
      <c r="E502" s="2"/>
      <c r="F502" s="1"/>
      <c r="G502" s="5"/>
      <c r="H502" s="5"/>
      <c r="I502" s="1"/>
      <c r="J502" s="1"/>
      <c r="K502" s="1"/>
      <c r="L502" s="1"/>
      <c r="M502" s="1"/>
      <c r="N502" s="1"/>
      <c r="O502"/>
      <c r="Q502"/>
      <c r="R502"/>
      <c r="S502"/>
      <c r="T502"/>
      <c r="U502"/>
      <c r="V502"/>
    </row>
    <row r="503" spans="2:22" x14ac:dyDescent="0.3">
      <c r="B503"/>
      <c r="C503" s="1"/>
      <c r="D503" s="1"/>
      <c r="E503" s="2"/>
      <c r="F503" s="1"/>
      <c r="G503" s="5"/>
      <c r="H503" s="5"/>
      <c r="I503" s="1"/>
      <c r="J503" s="1"/>
      <c r="K503" s="1"/>
      <c r="L503" s="1"/>
      <c r="M503" s="1"/>
      <c r="N503" s="1"/>
      <c r="O503"/>
      <c r="Q503"/>
      <c r="R503"/>
      <c r="S503"/>
      <c r="T503"/>
      <c r="U503"/>
      <c r="V503"/>
    </row>
    <row r="504" spans="2:22" x14ac:dyDescent="0.3">
      <c r="B504"/>
      <c r="C504" s="1"/>
      <c r="D504" s="1"/>
      <c r="E504" s="2"/>
      <c r="F504" s="1"/>
      <c r="G504" s="5"/>
      <c r="H504" s="5"/>
      <c r="I504" s="1"/>
      <c r="J504" s="1"/>
      <c r="K504" s="1"/>
      <c r="L504" s="1"/>
      <c r="M504" s="1"/>
      <c r="N504" s="1"/>
      <c r="O504"/>
      <c r="Q504"/>
      <c r="R504"/>
      <c r="S504"/>
      <c r="T504"/>
      <c r="U504"/>
      <c r="V504"/>
    </row>
    <row r="505" spans="2:22" x14ac:dyDescent="0.3">
      <c r="B505"/>
      <c r="C505" s="1"/>
      <c r="D505" s="1"/>
      <c r="E505" s="2"/>
      <c r="F505" s="1"/>
      <c r="G505" s="5"/>
      <c r="H505" s="5"/>
      <c r="I505" s="1"/>
      <c r="J505" s="1"/>
      <c r="K505" s="1"/>
      <c r="L505" s="1"/>
      <c r="M505" s="1"/>
      <c r="N505" s="1"/>
      <c r="O505"/>
      <c r="Q505"/>
      <c r="R505"/>
      <c r="S505"/>
      <c r="T505"/>
      <c r="U505"/>
      <c r="V505"/>
    </row>
    <row r="506" spans="2:22" x14ac:dyDescent="0.3">
      <c r="B506"/>
      <c r="C506" s="1"/>
      <c r="D506" s="1"/>
      <c r="E506" s="2"/>
      <c r="F506" s="1"/>
      <c r="G506" s="5"/>
      <c r="H506" s="5"/>
      <c r="I506" s="1"/>
      <c r="J506" s="1"/>
      <c r="K506" s="1"/>
      <c r="L506" s="1"/>
      <c r="M506" s="1"/>
      <c r="N506" s="1"/>
      <c r="O506"/>
      <c r="Q506"/>
      <c r="R506"/>
      <c r="S506"/>
      <c r="T506"/>
      <c r="U506"/>
      <c r="V506"/>
    </row>
    <row r="507" spans="2:22" x14ac:dyDescent="0.3">
      <c r="B507"/>
      <c r="C507" s="1"/>
      <c r="D507" s="1"/>
      <c r="E507" s="2"/>
      <c r="F507" s="1"/>
      <c r="G507" s="5"/>
      <c r="H507" s="5"/>
      <c r="I507" s="1"/>
      <c r="J507" s="1"/>
      <c r="K507" s="1"/>
      <c r="L507" s="1"/>
      <c r="M507" s="1"/>
      <c r="N507" s="1"/>
      <c r="O507"/>
      <c r="Q507"/>
      <c r="R507"/>
      <c r="S507"/>
      <c r="T507"/>
      <c r="U507"/>
      <c r="V507"/>
    </row>
    <row r="508" spans="2:22" x14ac:dyDescent="0.3">
      <c r="B508"/>
      <c r="C508" s="1"/>
      <c r="D508" s="1"/>
      <c r="E508" s="2"/>
      <c r="F508" s="1"/>
      <c r="G508" s="5"/>
      <c r="H508" s="5"/>
      <c r="I508" s="1"/>
      <c r="J508" s="1"/>
      <c r="K508" s="1"/>
      <c r="L508" s="1"/>
      <c r="M508" s="1"/>
      <c r="N508" s="1"/>
      <c r="O508"/>
      <c r="Q508"/>
      <c r="R508"/>
      <c r="S508"/>
      <c r="T508"/>
      <c r="U508"/>
      <c r="V508"/>
    </row>
    <row r="509" spans="2:22" x14ac:dyDescent="0.3">
      <c r="B509"/>
      <c r="C509" s="1"/>
      <c r="D509" s="1"/>
      <c r="E509" s="2"/>
      <c r="F509" s="1"/>
      <c r="G509" s="5"/>
      <c r="H509" s="5"/>
      <c r="I509" s="1"/>
      <c r="J509" s="1"/>
      <c r="K509" s="1"/>
      <c r="L509" s="1"/>
      <c r="M509" s="1"/>
      <c r="N509" s="1"/>
      <c r="O509"/>
      <c r="Q509"/>
      <c r="R509"/>
      <c r="S509"/>
      <c r="T509"/>
      <c r="U509"/>
      <c r="V509"/>
    </row>
    <row r="510" spans="2:22" x14ac:dyDescent="0.3">
      <c r="B510"/>
      <c r="C510" s="1"/>
      <c r="D510" s="1"/>
      <c r="E510" s="2"/>
      <c r="F510" s="1"/>
      <c r="G510" s="5"/>
      <c r="H510" s="5"/>
      <c r="I510" s="1"/>
      <c r="J510" s="1"/>
      <c r="K510" s="1"/>
      <c r="L510" s="1"/>
      <c r="M510" s="1"/>
      <c r="N510" s="1"/>
      <c r="O510"/>
      <c r="Q510"/>
      <c r="R510"/>
      <c r="S510"/>
      <c r="T510"/>
      <c r="U510"/>
      <c r="V510"/>
    </row>
    <row r="511" spans="2:22" x14ac:dyDescent="0.3">
      <c r="B511"/>
      <c r="C511" s="1"/>
      <c r="D511" s="1"/>
      <c r="E511" s="2"/>
      <c r="F511" s="1"/>
      <c r="G511" s="5"/>
      <c r="H511" s="5"/>
      <c r="I511" s="1"/>
      <c r="J511" s="1"/>
      <c r="K511" s="1"/>
      <c r="L511" s="1"/>
      <c r="M511" s="1"/>
      <c r="N511" s="1"/>
      <c r="O511"/>
      <c r="Q511"/>
      <c r="R511"/>
      <c r="S511"/>
      <c r="T511"/>
      <c r="U511"/>
      <c r="V511"/>
    </row>
    <row r="512" spans="2:22" x14ac:dyDescent="0.3">
      <c r="B512"/>
      <c r="C512" s="1"/>
      <c r="D512" s="1"/>
      <c r="E512" s="2"/>
      <c r="F512" s="1"/>
      <c r="G512" s="5"/>
      <c r="H512" s="5"/>
      <c r="I512" s="1"/>
      <c r="J512" s="1"/>
      <c r="K512" s="1"/>
      <c r="L512" s="1"/>
      <c r="M512" s="1"/>
      <c r="N512" s="1"/>
      <c r="O512"/>
      <c r="Q512"/>
      <c r="R512"/>
      <c r="S512"/>
      <c r="T512"/>
      <c r="U512"/>
      <c r="V512"/>
    </row>
    <row r="513" spans="2:22" x14ac:dyDescent="0.3">
      <c r="B513"/>
      <c r="C513" s="1"/>
      <c r="D513" s="1"/>
      <c r="E513" s="2"/>
      <c r="F513" s="1"/>
      <c r="G513" s="5"/>
      <c r="H513" s="5"/>
      <c r="I513" s="1"/>
      <c r="J513" s="1"/>
      <c r="K513" s="1"/>
      <c r="L513" s="1"/>
      <c r="M513" s="1"/>
      <c r="N513" s="1"/>
      <c r="O513"/>
      <c r="Q513"/>
      <c r="R513"/>
      <c r="S513"/>
      <c r="T513"/>
      <c r="U513"/>
      <c r="V513"/>
    </row>
    <row r="514" spans="2:22" x14ac:dyDescent="0.3">
      <c r="B514"/>
      <c r="C514" s="1"/>
      <c r="D514" s="1"/>
      <c r="E514" s="2"/>
      <c r="F514" s="1"/>
      <c r="G514" s="5"/>
      <c r="H514" s="5"/>
      <c r="I514" s="1"/>
      <c r="J514" s="1"/>
      <c r="K514" s="1"/>
      <c r="L514" s="1"/>
      <c r="M514" s="1"/>
      <c r="N514" s="1"/>
      <c r="O514"/>
      <c r="Q514"/>
      <c r="R514"/>
      <c r="S514"/>
      <c r="T514"/>
      <c r="U514"/>
      <c r="V514"/>
    </row>
    <row r="515" spans="2:22" x14ac:dyDescent="0.3">
      <c r="B515"/>
      <c r="C515" s="1"/>
      <c r="D515" s="1"/>
      <c r="E515" s="2"/>
      <c r="F515" s="1"/>
      <c r="G515" s="5"/>
      <c r="H515" s="5"/>
      <c r="I515" s="1"/>
      <c r="J515" s="1"/>
      <c r="K515" s="1"/>
      <c r="L515" s="1"/>
      <c r="M515" s="1"/>
      <c r="N515" s="1"/>
      <c r="O515"/>
      <c r="Q515"/>
      <c r="R515"/>
      <c r="S515"/>
      <c r="T515"/>
      <c r="U515"/>
      <c r="V515"/>
    </row>
    <row r="516" spans="2:22" x14ac:dyDescent="0.3">
      <c r="B516"/>
      <c r="C516" s="1"/>
      <c r="D516" s="1"/>
      <c r="E516" s="2"/>
      <c r="F516" s="1"/>
      <c r="G516" s="5"/>
      <c r="H516" s="5"/>
      <c r="I516" s="1"/>
      <c r="J516" s="1"/>
      <c r="K516" s="1"/>
      <c r="L516" s="1"/>
      <c r="M516" s="1"/>
      <c r="N516" s="1"/>
      <c r="O516"/>
      <c r="Q516"/>
      <c r="R516"/>
      <c r="S516"/>
      <c r="T516"/>
      <c r="U516"/>
      <c r="V516"/>
    </row>
    <row r="517" spans="2:22" x14ac:dyDescent="0.3">
      <c r="B517"/>
      <c r="C517" s="1"/>
      <c r="D517" s="1"/>
      <c r="E517" s="2"/>
      <c r="F517" s="1"/>
      <c r="G517" s="5"/>
      <c r="H517" s="5"/>
      <c r="I517" s="1"/>
      <c r="J517" s="1"/>
      <c r="K517" s="1"/>
      <c r="L517" s="1"/>
      <c r="M517" s="1"/>
      <c r="N517" s="1"/>
      <c r="O517"/>
      <c r="Q517"/>
      <c r="R517"/>
      <c r="S517"/>
      <c r="T517"/>
      <c r="U517"/>
      <c r="V517"/>
    </row>
    <row r="518" spans="2:22" x14ac:dyDescent="0.3">
      <c r="B518"/>
      <c r="C518" s="1"/>
      <c r="D518" s="1"/>
      <c r="E518" s="2"/>
      <c r="F518" s="1"/>
      <c r="G518" s="5"/>
      <c r="H518" s="5"/>
      <c r="I518" s="1"/>
      <c r="J518" s="1"/>
      <c r="K518" s="1"/>
      <c r="L518" s="1"/>
      <c r="M518" s="1"/>
      <c r="N518" s="1"/>
      <c r="O518"/>
      <c r="Q518"/>
      <c r="R518"/>
      <c r="S518"/>
      <c r="T518"/>
      <c r="U518"/>
      <c r="V518"/>
    </row>
    <row r="519" spans="2:22" x14ac:dyDescent="0.3">
      <c r="B519"/>
      <c r="C519" s="1"/>
      <c r="D519" s="1"/>
      <c r="E519" s="2"/>
      <c r="F519" s="1"/>
      <c r="G519" s="5"/>
      <c r="H519" s="5"/>
      <c r="I519" s="1"/>
      <c r="J519" s="1"/>
      <c r="K519" s="1"/>
      <c r="L519" s="1"/>
      <c r="M519" s="1"/>
      <c r="N519" s="1"/>
      <c r="O519"/>
      <c r="Q519"/>
      <c r="R519"/>
      <c r="S519"/>
      <c r="T519"/>
      <c r="U519"/>
      <c r="V519"/>
    </row>
    <row r="520" spans="2:22" x14ac:dyDescent="0.3">
      <c r="B520"/>
      <c r="C520" s="1"/>
      <c r="D520" s="1"/>
      <c r="E520" s="2"/>
      <c r="F520" s="1"/>
      <c r="G520" s="5"/>
      <c r="H520" s="5"/>
      <c r="I520" s="1"/>
      <c r="J520" s="1"/>
      <c r="K520" s="1"/>
      <c r="L520" s="1"/>
      <c r="M520" s="1"/>
      <c r="N520" s="1"/>
      <c r="O520"/>
      <c r="Q520"/>
      <c r="R520"/>
      <c r="S520"/>
      <c r="T520"/>
      <c r="U520"/>
      <c r="V520"/>
    </row>
    <row r="521" spans="2:22" x14ac:dyDescent="0.3">
      <c r="B521"/>
      <c r="C521" s="1"/>
      <c r="D521" s="1"/>
      <c r="E521" s="2"/>
      <c r="F521" s="1"/>
      <c r="G521" s="5"/>
      <c r="H521" s="5"/>
      <c r="I521" s="1"/>
      <c r="J521" s="1"/>
      <c r="K521" s="1"/>
      <c r="L521" s="1"/>
      <c r="M521" s="1"/>
      <c r="N521" s="1"/>
      <c r="O521"/>
      <c r="Q521"/>
      <c r="R521"/>
      <c r="S521"/>
      <c r="T521"/>
      <c r="U521"/>
      <c r="V521"/>
    </row>
    <row r="522" spans="2:22" x14ac:dyDescent="0.3">
      <c r="B522"/>
      <c r="C522" s="1"/>
      <c r="D522" s="1"/>
      <c r="E522" s="2"/>
      <c r="F522" s="1"/>
      <c r="G522" s="5"/>
      <c r="H522" s="5"/>
      <c r="I522" s="1"/>
      <c r="J522" s="1"/>
      <c r="K522" s="1"/>
      <c r="L522" s="1"/>
      <c r="M522" s="1"/>
      <c r="N522" s="1"/>
      <c r="O522"/>
      <c r="Q522"/>
      <c r="R522"/>
      <c r="S522"/>
      <c r="T522"/>
      <c r="U522"/>
      <c r="V522"/>
    </row>
    <row r="523" spans="2:22" x14ac:dyDescent="0.3">
      <c r="B523"/>
      <c r="C523" s="1"/>
      <c r="D523" s="1"/>
      <c r="E523" s="2"/>
      <c r="F523" s="1"/>
      <c r="G523" s="5"/>
      <c r="H523" s="5"/>
      <c r="I523" s="1"/>
      <c r="J523" s="1"/>
      <c r="K523" s="1"/>
      <c r="L523" s="1"/>
      <c r="M523" s="1"/>
      <c r="N523" s="1"/>
      <c r="O523"/>
      <c r="Q523"/>
      <c r="R523"/>
      <c r="S523"/>
      <c r="T523"/>
      <c r="U523"/>
      <c r="V523"/>
    </row>
    <row r="524" spans="2:22" x14ac:dyDescent="0.3">
      <c r="B524"/>
      <c r="C524" s="1"/>
      <c r="D524" s="1"/>
      <c r="E524" s="2"/>
      <c r="F524" s="1"/>
      <c r="G524" s="5"/>
      <c r="H524" s="5"/>
      <c r="I524" s="1"/>
      <c r="J524" s="1"/>
      <c r="K524" s="1"/>
      <c r="L524" s="1"/>
      <c r="M524" s="1"/>
      <c r="N524" s="1"/>
      <c r="O524"/>
      <c r="Q524"/>
      <c r="R524"/>
      <c r="S524"/>
      <c r="T524"/>
      <c r="U524"/>
      <c r="V524"/>
    </row>
    <row r="525" spans="2:22" x14ac:dyDescent="0.3">
      <c r="B525"/>
      <c r="C525" s="1"/>
      <c r="D525" s="1"/>
      <c r="E525" s="2"/>
      <c r="F525" s="1"/>
      <c r="G525" s="5"/>
      <c r="H525" s="5"/>
      <c r="I525" s="1"/>
      <c r="J525" s="1"/>
      <c r="K525" s="1"/>
      <c r="L525" s="1"/>
      <c r="M525" s="1"/>
      <c r="N525" s="1"/>
      <c r="O525"/>
      <c r="Q525"/>
      <c r="R525"/>
      <c r="S525"/>
      <c r="T525"/>
      <c r="U525"/>
      <c r="V525"/>
    </row>
    <row r="526" spans="2:22" x14ac:dyDescent="0.3">
      <c r="B526"/>
      <c r="C526" s="1"/>
      <c r="D526" s="1"/>
      <c r="E526" s="2"/>
      <c r="F526" s="1"/>
      <c r="G526" s="5"/>
      <c r="H526" s="5"/>
      <c r="I526" s="1"/>
      <c r="J526" s="1"/>
      <c r="K526" s="1"/>
      <c r="L526" s="1"/>
      <c r="M526" s="1"/>
      <c r="N526" s="1"/>
      <c r="O526"/>
      <c r="Q526"/>
      <c r="R526"/>
      <c r="S526"/>
      <c r="T526"/>
      <c r="U526"/>
      <c r="V526"/>
    </row>
    <row r="527" spans="2:22" x14ac:dyDescent="0.3">
      <c r="B527"/>
      <c r="C527" s="1"/>
      <c r="D527" s="1"/>
      <c r="E527" s="2"/>
      <c r="F527" s="1"/>
      <c r="G527" s="5"/>
      <c r="H527" s="5"/>
      <c r="I527" s="1"/>
      <c r="J527" s="1"/>
      <c r="K527" s="1"/>
      <c r="L527" s="1"/>
      <c r="M527" s="1"/>
      <c r="N527" s="1"/>
      <c r="O527"/>
      <c r="Q527"/>
      <c r="R527"/>
      <c r="S527"/>
      <c r="T527"/>
      <c r="U527"/>
      <c r="V527"/>
    </row>
    <row r="528" spans="2:22" x14ac:dyDescent="0.3">
      <c r="B528"/>
      <c r="C528" s="1"/>
      <c r="D528" s="1"/>
      <c r="E528" s="2"/>
      <c r="F528" s="1"/>
      <c r="G528" s="5"/>
      <c r="H528" s="5"/>
      <c r="I528" s="1"/>
      <c r="J528" s="1"/>
      <c r="K528" s="1"/>
      <c r="L528" s="1"/>
      <c r="M528" s="1"/>
      <c r="N528" s="1"/>
      <c r="O528"/>
      <c r="Q528"/>
      <c r="R528"/>
      <c r="S528"/>
      <c r="T528"/>
      <c r="U528"/>
      <c r="V528"/>
    </row>
    <row r="529" spans="2:22" x14ac:dyDescent="0.3">
      <c r="B529"/>
      <c r="C529" s="1"/>
      <c r="D529" s="1"/>
      <c r="E529" s="2"/>
      <c r="F529" s="1"/>
      <c r="G529" s="5"/>
      <c r="H529" s="5"/>
      <c r="I529" s="1"/>
      <c r="J529" s="1"/>
      <c r="K529" s="1"/>
      <c r="L529" s="1"/>
      <c r="M529" s="1"/>
      <c r="N529" s="1"/>
      <c r="O529"/>
      <c r="Q529"/>
      <c r="R529"/>
      <c r="S529"/>
      <c r="T529"/>
      <c r="U529"/>
      <c r="V529"/>
    </row>
    <row r="530" spans="2:22" x14ac:dyDescent="0.3">
      <c r="B530"/>
      <c r="C530" s="1"/>
      <c r="D530" s="1"/>
      <c r="E530" s="2"/>
      <c r="F530" s="1"/>
      <c r="G530" s="5"/>
      <c r="H530" s="5"/>
      <c r="I530" s="1"/>
      <c r="J530" s="1"/>
      <c r="K530" s="1"/>
      <c r="L530" s="1"/>
      <c r="M530" s="1"/>
      <c r="N530" s="1"/>
      <c r="O530"/>
      <c r="Q530"/>
      <c r="R530"/>
      <c r="S530"/>
      <c r="T530"/>
      <c r="U530"/>
      <c r="V530"/>
    </row>
    <row r="531" spans="2:22" x14ac:dyDescent="0.3">
      <c r="B531"/>
      <c r="C531" s="1"/>
      <c r="D531" s="1"/>
      <c r="E531" s="2"/>
      <c r="F531" s="1"/>
      <c r="G531" s="5"/>
      <c r="H531" s="5"/>
      <c r="I531" s="1"/>
      <c r="J531" s="1"/>
      <c r="K531" s="1"/>
      <c r="L531" s="1"/>
      <c r="M531" s="1"/>
      <c r="N531" s="1"/>
      <c r="O531"/>
      <c r="Q531"/>
      <c r="R531"/>
      <c r="S531"/>
      <c r="T531"/>
      <c r="U531"/>
      <c r="V531"/>
    </row>
    <row r="532" spans="2:22" x14ac:dyDescent="0.3">
      <c r="B532"/>
      <c r="C532" s="1"/>
      <c r="D532" s="1"/>
      <c r="E532" s="2"/>
      <c r="F532" s="1"/>
      <c r="G532" s="5"/>
      <c r="H532" s="5"/>
      <c r="I532" s="1"/>
      <c r="J532" s="1"/>
      <c r="K532" s="1"/>
      <c r="L532" s="1"/>
      <c r="M532" s="1"/>
      <c r="N532" s="1"/>
      <c r="O532"/>
      <c r="Q532"/>
      <c r="R532"/>
      <c r="S532"/>
      <c r="T532"/>
      <c r="U532"/>
      <c r="V532"/>
    </row>
    <row r="533" spans="2:22" x14ac:dyDescent="0.3">
      <c r="B533"/>
      <c r="C533" s="1"/>
      <c r="D533" s="1"/>
      <c r="E533" s="2"/>
      <c r="F533" s="1"/>
      <c r="G533" s="5"/>
      <c r="H533" s="5"/>
      <c r="I533" s="1"/>
      <c r="J533" s="1"/>
      <c r="K533" s="1"/>
      <c r="L533" s="1"/>
      <c r="M533" s="1"/>
      <c r="N533" s="1"/>
      <c r="O533"/>
      <c r="Q533"/>
      <c r="R533"/>
      <c r="S533"/>
      <c r="T533"/>
      <c r="U533"/>
      <c r="V533"/>
    </row>
    <row r="534" spans="2:22" x14ac:dyDescent="0.3">
      <c r="B534"/>
      <c r="C534" s="1"/>
      <c r="D534" s="1"/>
      <c r="E534" s="2"/>
      <c r="F534" s="1"/>
      <c r="G534" s="5"/>
      <c r="H534" s="5"/>
      <c r="I534" s="1"/>
      <c r="J534" s="1"/>
      <c r="K534" s="1"/>
      <c r="L534" s="1"/>
      <c r="M534" s="1"/>
      <c r="N534" s="1"/>
      <c r="O534"/>
      <c r="Q534"/>
      <c r="R534"/>
      <c r="S534"/>
      <c r="T534"/>
      <c r="U534"/>
      <c r="V534"/>
    </row>
    <row r="535" spans="2:22" x14ac:dyDescent="0.3">
      <c r="B535"/>
      <c r="C535" s="1"/>
      <c r="D535" s="1"/>
      <c r="E535" s="2"/>
      <c r="F535" s="1"/>
      <c r="G535" s="5"/>
      <c r="H535" s="5"/>
      <c r="I535" s="1"/>
      <c r="J535" s="1"/>
      <c r="K535" s="1"/>
      <c r="L535" s="1"/>
      <c r="M535" s="1"/>
      <c r="N535" s="1"/>
      <c r="O535"/>
      <c r="Q535"/>
      <c r="R535"/>
      <c r="S535"/>
      <c r="T535"/>
      <c r="U535"/>
      <c r="V535"/>
    </row>
    <row r="536" spans="2:22" x14ac:dyDescent="0.3">
      <c r="B536"/>
      <c r="C536" s="1"/>
      <c r="D536" s="1"/>
      <c r="E536" s="2"/>
      <c r="F536" s="1"/>
      <c r="G536" s="5"/>
      <c r="H536" s="5"/>
      <c r="I536" s="1"/>
      <c r="J536" s="1"/>
      <c r="K536" s="1"/>
      <c r="L536" s="1"/>
      <c r="M536" s="1"/>
      <c r="N536" s="1"/>
      <c r="O536"/>
      <c r="Q536"/>
      <c r="R536"/>
      <c r="S536"/>
      <c r="T536"/>
      <c r="U536"/>
      <c r="V536"/>
    </row>
    <row r="537" spans="2:22" x14ac:dyDescent="0.3">
      <c r="B537"/>
      <c r="C537" s="1"/>
      <c r="D537" s="1"/>
      <c r="E537" s="2"/>
      <c r="F537" s="1"/>
      <c r="G537" s="5"/>
      <c r="H537" s="5"/>
      <c r="I537" s="1"/>
      <c r="J537" s="1"/>
      <c r="K537" s="1"/>
      <c r="L537" s="1"/>
      <c r="M537" s="1"/>
      <c r="N537" s="1"/>
      <c r="O537"/>
      <c r="Q537"/>
      <c r="R537"/>
      <c r="S537"/>
      <c r="T537"/>
      <c r="U537"/>
      <c r="V537"/>
    </row>
    <row r="538" spans="2:22" x14ac:dyDescent="0.3">
      <c r="B538"/>
      <c r="C538" s="1"/>
      <c r="D538" s="1"/>
      <c r="E538" s="2"/>
      <c r="F538" s="1"/>
      <c r="G538" s="5"/>
      <c r="H538" s="5"/>
      <c r="I538" s="1"/>
      <c r="J538" s="1"/>
      <c r="K538" s="1"/>
      <c r="L538" s="1"/>
      <c r="M538" s="1"/>
      <c r="N538" s="1"/>
      <c r="O538"/>
      <c r="Q538"/>
      <c r="R538"/>
      <c r="S538"/>
      <c r="T538"/>
      <c r="U538"/>
      <c r="V538"/>
    </row>
    <row r="539" spans="2:22" x14ac:dyDescent="0.3">
      <c r="B539"/>
      <c r="C539" s="1"/>
      <c r="D539" s="1"/>
      <c r="E539" s="2"/>
      <c r="F539" s="1"/>
      <c r="G539" s="5"/>
      <c r="H539" s="5"/>
      <c r="I539" s="1"/>
      <c r="J539" s="1"/>
      <c r="K539" s="1"/>
      <c r="L539" s="1"/>
      <c r="M539" s="1"/>
      <c r="N539" s="1"/>
      <c r="O539"/>
      <c r="Q539"/>
      <c r="R539"/>
      <c r="S539"/>
      <c r="T539"/>
      <c r="U539"/>
      <c r="V539"/>
    </row>
    <row r="540" spans="2:22" x14ac:dyDescent="0.3">
      <c r="B540"/>
      <c r="C540" s="1"/>
      <c r="D540" s="1"/>
      <c r="E540" s="2"/>
      <c r="F540" s="1"/>
      <c r="G540" s="5"/>
      <c r="H540" s="5"/>
      <c r="I540" s="1"/>
      <c r="J540" s="1"/>
      <c r="K540" s="1"/>
      <c r="L540" s="1"/>
      <c r="M540" s="1"/>
      <c r="N540" s="1"/>
      <c r="O540"/>
      <c r="Q540"/>
      <c r="R540"/>
      <c r="S540"/>
      <c r="T540"/>
      <c r="U540"/>
      <c r="V540"/>
    </row>
    <row r="541" spans="2:22" x14ac:dyDescent="0.3">
      <c r="B541"/>
      <c r="C541" s="1"/>
      <c r="D541" s="1"/>
      <c r="E541" s="2"/>
      <c r="F541" s="1"/>
      <c r="G541" s="5"/>
      <c r="H541" s="5"/>
      <c r="I541" s="1"/>
      <c r="J541" s="1"/>
      <c r="K541" s="1"/>
      <c r="L541" s="1"/>
      <c r="M541" s="1"/>
      <c r="N541" s="1"/>
      <c r="O541"/>
      <c r="Q541"/>
      <c r="R541"/>
      <c r="S541"/>
      <c r="T541"/>
      <c r="U541"/>
      <c r="V541"/>
    </row>
    <row r="542" spans="2:22" x14ac:dyDescent="0.3">
      <c r="B542"/>
      <c r="C542" s="1"/>
      <c r="D542" s="1"/>
      <c r="E542" s="2"/>
      <c r="F542" s="1"/>
      <c r="G542" s="5"/>
      <c r="H542" s="5"/>
      <c r="I542" s="1"/>
      <c r="J542" s="1"/>
      <c r="K542" s="1"/>
      <c r="L542" s="1"/>
      <c r="M542" s="1"/>
      <c r="N542" s="1"/>
      <c r="O542"/>
      <c r="Q542"/>
      <c r="R542"/>
      <c r="S542"/>
      <c r="T542"/>
      <c r="U542"/>
      <c r="V542"/>
    </row>
    <row r="543" spans="2:22" x14ac:dyDescent="0.3">
      <c r="B543"/>
      <c r="C543" s="1"/>
      <c r="D543" s="1"/>
      <c r="E543" s="2"/>
      <c r="F543" s="1"/>
      <c r="G543" s="5"/>
      <c r="H543" s="5"/>
      <c r="I543" s="1"/>
      <c r="J543" s="1"/>
      <c r="K543" s="1"/>
      <c r="L543" s="1"/>
      <c r="M543" s="1"/>
      <c r="N543" s="1"/>
      <c r="O543"/>
      <c r="Q543"/>
      <c r="R543"/>
      <c r="S543"/>
      <c r="T543"/>
      <c r="U543"/>
      <c r="V543"/>
    </row>
    <row r="544" spans="2:22" x14ac:dyDescent="0.3">
      <c r="B544"/>
      <c r="C544" s="1"/>
      <c r="D544" s="1"/>
      <c r="E544" s="2"/>
      <c r="F544" s="1"/>
      <c r="G544" s="5"/>
      <c r="H544" s="5"/>
      <c r="I544" s="1"/>
      <c r="J544" s="1"/>
      <c r="K544" s="1"/>
      <c r="L544" s="1"/>
      <c r="M544" s="1"/>
      <c r="N544" s="1"/>
      <c r="O544"/>
      <c r="Q544"/>
      <c r="R544"/>
      <c r="S544"/>
      <c r="T544"/>
      <c r="U544"/>
      <c r="V544"/>
    </row>
    <row r="545" spans="2:22" x14ac:dyDescent="0.3">
      <c r="B545"/>
      <c r="C545" s="1"/>
      <c r="D545" s="1"/>
      <c r="E545" s="2"/>
      <c r="F545" s="1"/>
      <c r="G545" s="5"/>
      <c r="H545" s="5"/>
      <c r="I545" s="1"/>
      <c r="J545" s="1"/>
      <c r="K545" s="1"/>
      <c r="L545" s="1"/>
      <c r="M545" s="1"/>
      <c r="N545" s="1"/>
      <c r="O545"/>
      <c r="Q545"/>
      <c r="R545"/>
      <c r="S545"/>
      <c r="T545"/>
      <c r="U545"/>
      <c r="V545"/>
    </row>
    <row r="546" spans="2:22" x14ac:dyDescent="0.3">
      <c r="B546"/>
      <c r="C546" s="1"/>
      <c r="D546" s="1"/>
      <c r="E546" s="2"/>
      <c r="F546" s="1"/>
      <c r="G546" s="5"/>
      <c r="H546" s="5"/>
      <c r="I546" s="1"/>
      <c r="J546" s="1"/>
      <c r="K546" s="1"/>
      <c r="L546" s="1"/>
      <c r="M546" s="1"/>
      <c r="N546" s="1"/>
      <c r="O546"/>
      <c r="Q546"/>
      <c r="R546"/>
      <c r="S546"/>
      <c r="T546"/>
      <c r="U546"/>
      <c r="V546"/>
    </row>
    <row r="547" spans="2:22" x14ac:dyDescent="0.3">
      <c r="B547"/>
      <c r="C547" s="1"/>
      <c r="D547" s="1"/>
      <c r="E547" s="2"/>
      <c r="F547" s="1"/>
      <c r="G547" s="5"/>
      <c r="H547" s="5"/>
      <c r="I547" s="1"/>
      <c r="J547" s="1"/>
      <c r="K547" s="1"/>
      <c r="L547" s="1"/>
      <c r="M547" s="1"/>
      <c r="N547" s="1"/>
      <c r="O547"/>
      <c r="Q547"/>
      <c r="R547"/>
      <c r="S547"/>
      <c r="T547"/>
      <c r="U547"/>
      <c r="V547"/>
    </row>
    <row r="548" spans="2:22" x14ac:dyDescent="0.3">
      <c r="B548"/>
      <c r="C548" s="1"/>
      <c r="D548" s="1"/>
      <c r="E548" s="2"/>
      <c r="F548" s="1"/>
      <c r="G548" s="5"/>
      <c r="H548" s="5"/>
      <c r="I548" s="1"/>
      <c r="J548" s="1"/>
      <c r="K548" s="1"/>
      <c r="L548" s="1"/>
      <c r="M548" s="1"/>
      <c r="N548" s="1"/>
      <c r="O548"/>
      <c r="Q548"/>
      <c r="R548"/>
      <c r="S548"/>
      <c r="T548"/>
      <c r="U548"/>
      <c r="V548"/>
    </row>
    <row r="549" spans="2:22" x14ac:dyDescent="0.3">
      <c r="B549"/>
      <c r="C549" s="1"/>
      <c r="D549" s="1"/>
      <c r="E549" s="2"/>
      <c r="F549" s="1"/>
      <c r="G549" s="5"/>
      <c r="H549" s="5"/>
      <c r="I549" s="1"/>
      <c r="J549" s="1"/>
      <c r="K549" s="1"/>
      <c r="L549" s="1"/>
      <c r="M549" s="1"/>
      <c r="N549" s="1"/>
      <c r="O549"/>
      <c r="Q549"/>
      <c r="R549"/>
      <c r="S549"/>
      <c r="T549"/>
      <c r="U549"/>
      <c r="V549"/>
    </row>
    <row r="550" spans="2:22" x14ac:dyDescent="0.3">
      <c r="B550"/>
      <c r="C550" s="1"/>
      <c r="D550" s="1"/>
      <c r="E550" s="2"/>
      <c r="F550" s="1"/>
      <c r="G550" s="5"/>
      <c r="H550" s="5"/>
      <c r="I550" s="1"/>
      <c r="J550" s="1"/>
      <c r="K550" s="1"/>
      <c r="L550" s="1"/>
      <c r="M550" s="1"/>
      <c r="N550" s="1"/>
      <c r="O550"/>
      <c r="Q550"/>
      <c r="R550"/>
      <c r="S550"/>
      <c r="T550"/>
      <c r="U550"/>
      <c r="V550"/>
    </row>
    <row r="551" spans="2:22" x14ac:dyDescent="0.3">
      <c r="B551"/>
      <c r="C551" s="1"/>
      <c r="D551" s="1"/>
      <c r="E551" s="2"/>
      <c r="F551" s="1"/>
      <c r="G551" s="5"/>
      <c r="H551" s="5"/>
      <c r="I551" s="1"/>
      <c r="J551" s="1"/>
      <c r="K551" s="1"/>
      <c r="L551" s="1"/>
      <c r="M551" s="1"/>
      <c r="N551" s="1"/>
      <c r="O551"/>
      <c r="Q551"/>
      <c r="R551"/>
      <c r="S551"/>
      <c r="T551"/>
      <c r="U551"/>
      <c r="V551"/>
    </row>
    <row r="552" spans="2:22" x14ac:dyDescent="0.3">
      <c r="B552"/>
      <c r="C552" s="1"/>
      <c r="D552" s="1"/>
      <c r="E552" s="2"/>
      <c r="F552" s="1"/>
      <c r="G552" s="5"/>
      <c r="H552" s="5"/>
      <c r="I552" s="1"/>
      <c r="J552" s="1"/>
      <c r="K552" s="1"/>
      <c r="L552" s="1"/>
      <c r="M552" s="1"/>
      <c r="N552" s="1"/>
      <c r="O552"/>
      <c r="Q552"/>
      <c r="R552"/>
      <c r="S552"/>
      <c r="T552"/>
      <c r="U552"/>
      <c r="V552"/>
    </row>
    <row r="553" spans="2:22" x14ac:dyDescent="0.3">
      <c r="B553"/>
      <c r="C553" s="1"/>
      <c r="D553" s="1"/>
      <c r="E553" s="2"/>
      <c r="F553" s="1"/>
      <c r="G553" s="5"/>
      <c r="H553" s="5"/>
      <c r="I553" s="1"/>
      <c r="J553" s="1"/>
      <c r="K553" s="1"/>
      <c r="L553" s="1"/>
      <c r="M553" s="1"/>
      <c r="N553" s="1"/>
      <c r="O553"/>
      <c r="Q553"/>
      <c r="R553"/>
      <c r="S553"/>
      <c r="T553"/>
      <c r="U553"/>
      <c r="V553"/>
    </row>
    <row r="554" spans="2:22" x14ac:dyDescent="0.3">
      <c r="B554"/>
      <c r="C554" s="1"/>
      <c r="D554" s="1"/>
      <c r="E554" s="2"/>
      <c r="F554" s="1"/>
      <c r="G554" s="5"/>
      <c r="H554" s="5"/>
      <c r="I554" s="1"/>
      <c r="J554" s="1"/>
      <c r="K554" s="1"/>
      <c r="L554" s="1"/>
      <c r="M554" s="1"/>
      <c r="N554" s="1"/>
      <c r="O554"/>
      <c r="Q554"/>
      <c r="R554"/>
      <c r="S554"/>
      <c r="T554"/>
      <c r="U554"/>
      <c r="V554"/>
    </row>
    <row r="555" spans="2:22" x14ac:dyDescent="0.3">
      <c r="B555"/>
      <c r="C555" s="1"/>
      <c r="D555" s="1"/>
      <c r="E555" s="2"/>
      <c r="F555" s="1"/>
      <c r="G555" s="5"/>
      <c r="H555" s="5"/>
      <c r="I555" s="1"/>
      <c r="J555" s="1"/>
      <c r="K555" s="1"/>
      <c r="L555" s="1"/>
      <c r="M555" s="1"/>
      <c r="N555" s="1"/>
      <c r="O555"/>
      <c r="Q555"/>
      <c r="R555"/>
      <c r="S555"/>
      <c r="T555"/>
      <c r="U555"/>
      <c r="V555"/>
    </row>
    <row r="556" spans="2:22" x14ac:dyDescent="0.3">
      <c r="B556"/>
      <c r="C556" s="1"/>
      <c r="D556" s="1"/>
      <c r="E556" s="2"/>
      <c r="F556" s="1"/>
      <c r="G556" s="5"/>
      <c r="H556" s="5"/>
      <c r="I556" s="1"/>
      <c r="J556" s="1"/>
      <c r="K556" s="1"/>
      <c r="L556" s="1"/>
      <c r="M556" s="1"/>
      <c r="N556" s="1"/>
      <c r="O556"/>
      <c r="Q556"/>
      <c r="R556"/>
      <c r="S556"/>
      <c r="T556"/>
      <c r="U556"/>
      <c r="V556"/>
    </row>
    <row r="557" spans="2:22" x14ac:dyDescent="0.3">
      <c r="B557"/>
      <c r="C557" s="1"/>
      <c r="D557" s="1"/>
      <c r="E557" s="2"/>
      <c r="F557" s="1"/>
      <c r="G557" s="5"/>
      <c r="H557" s="5"/>
      <c r="I557" s="1"/>
      <c r="J557" s="1"/>
      <c r="K557" s="1"/>
      <c r="L557" s="1"/>
      <c r="M557" s="1"/>
      <c r="N557" s="1"/>
      <c r="O557"/>
      <c r="Q557"/>
      <c r="R557"/>
      <c r="S557"/>
      <c r="T557"/>
      <c r="U557"/>
      <c r="V557"/>
    </row>
    <row r="558" spans="2:22" x14ac:dyDescent="0.3">
      <c r="B558"/>
      <c r="C558" s="1"/>
      <c r="D558" s="1"/>
      <c r="E558" s="2"/>
      <c r="F558" s="1"/>
      <c r="G558" s="5"/>
      <c r="H558" s="5"/>
      <c r="I558" s="1"/>
      <c r="J558" s="1"/>
      <c r="K558" s="1"/>
      <c r="L558" s="1"/>
      <c r="M558" s="1"/>
      <c r="N558" s="1"/>
      <c r="O558"/>
      <c r="Q558"/>
      <c r="R558"/>
      <c r="S558"/>
      <c r="T558"/>
      <c r="U558"/>
      <c r="V558"/>
    </row>
    <row r="559" spans="2:22" x14ac:dyDescent="0.3">
      <c r="B559"/>
      <c r="C559" s="1"/>
      <c r="D559" s="1"/>
      <c r="E559" s="2"/>
      <c r="F559" s="1"/>
      <c r="G559" s="5"/>
      <c r="H559" s="5"/>
      <c r="I559" s="1"/>
      <c r="J559" s="1"/>
      <c r="K559" s="1"/>
      <c r="L559" s="1"/>
      <c r="M559" s="1"/>
      <c r="N559" s="1"/>
      <c r="O559"/>
      <c r="Q559"/>
      <c r="R559"/>
      <c r="S559"/>
      <c r="T559"/>
      <c r="U559"/>
      <c r="V559"/>
    </row>
    <row r="560" spans="2:22" x14ac:dyDescent="0.3">
      <c r="B560"/>
      <c r="C560" s="1"/>
      <c r="D560" s="1"/>
      <c r="E560" s="2"/>
      <c r="F560" s="1"/>
      <c r="G560" s="5"/>
      <c r="H560" s="5"/>
      <c r="I560" s="1"/>
      <c r="J560" s="1"/>
      <c r="K560" s="1"/>
      <c r="L560" s="1"/>
      <c r="M560" s="1"/>
      <c r="N560" s="1"/>
      <c r="O560"/>
      <c r="Q560"/>
      <c r="R560"/>
      <c r="S560"/>
      <c r="T560"/>
      <c r="U560"/>
      <c r="V560"/>
    </row>
    <row r="561" spans="2:22" x14ac:dyDescent="0.3">
      <c r="B561"/>
      <c r="C561" s="1"/>
      <c r="D561" s="1"/>
      <c r="E561" s="2"/>
      <c r="F561" s="1"/>
      <c r="G561" s="5"/>
      <c r="H561" s="5"/>
      <c r="I561" s="1"/>
      <c r="J561" s="1"/>
      <c r="K561" s="1"/>
      <c r="L561" s="1"/>
      <c r="M561" s="1"/>
      <c r="N561" s="1"/>
      <c r="O561"/>
      <c r="Q561"/>
      <c r="R561"/>
      <c r="S561"/>
      <c r="T561"/>
      <c r="U561"/>
      <c r="V561"/>
    </row>
    <row r="562" spans="2:22" x14ac:dyDescent="0.3">
      <c r="B562"/>
      <c r="C562" s="1"/>
      <c r="D562" s="1"/>
      <c r="E562" s="2"/>
      <c r="F562" s="1"/>
      <c r="G562" s="5"/>
      <c r="H562" s="5"/>
      <c r="I562" s="1"/>
      <c r="J562" s="1"/>
      <c r="K562" s="1"/>
      <c r="L562" s="1"/>
      <c r="M562" s="1"/>
      <c r="N562" s="1"/>
      <c r="O562"/>
      <c r="Q562"/>
      <c r="R562"/>
      <c r="S562"/>
      <c r="T562"/>
      <c r="U562"/>
      <c r="V562"/>
    </row>
    <row r="563" spans="2:22" x14ac:dyDescent="0.3">
      <c r="B563"/>
      <c r="C563" s="1"/>
      <c r="D563" s="1"/>
      <c r="E563" s="2"/>
      <c r="F563" s="1"/>
      <c r="G563" s="5"/>
      <c r="H563" s="5"/>
      <c r="I563" s="1"/>
      <c r="J563" s="1"/>
      <c r="K563" s="1"/>
      <c r="L563" s="1"/>
      <c r="M563" s="1"/>
      <c r="N563" s="1"/>
      <c r="O563"/>
      <c r="Q563"/>
      <c r="R563"/>
      <c r="S563"/>
      <c r="T563"/>
      <c r="U563"/>
      <c r="V563"/>
    </row>
    <row r="564" spans="2:22" x14ac:dyDescent="0.3">
      <c r="B564"/>
      <c r="C564" s="1"/>
      <c r="D564" s="1"/>
      <c r="E564" s="2"/>
      <c r="F564" s="1"/>
      <c r="G564" s="5"/>
      <c r="H564" s="5"/>
      <c r="I564" s="1"/>
      <c r="J564" s="1"/>
      <c r="K564" s="1"/>
      <c r="L564" s="1"/>
      <c r="M564" s="1"/>
      <c r="N564" s="1"/>
      <c r="O564"/>
      <c r="Q564"/>
      <c r="R564"/>
      <c r="S564"/>
      <c r="T564"/>
      <c r="U564"/>
      <c r="V564"/>
    </row>
    <row r="565" spans="2:22" x14ac:dyDescent="0.3">
      <c r="B565"/>
      <c r="C565" s="1"/>
      <c r="D565" s="1"/>
      <c r="E565" s="2"/>
      <c r="F565" s="1"/>
      <c r="G565" s="5"/>
      <c r="H565" s="5"/>
      <c r="I565" s="1"/>
      <c r="J565" s="1"/>
      <c r="K565" s="1"/>
      <c r="L565" s="1"/>
      <c r="M565" s="1"/>
      <c r="N565" s="1"/>
      <c r="O565"/>
      <c r="Q565"/>
      <c r="R565"/>
      <c r="S565"/>
      <c r="T565"/>
      <c r="U565"/>
      <c r="V565"/>
    </row>
    <row r="566" spans="2:22" x14ac:dyDescent="0.3">
      <c r="B566"/>
      <c r="C566" s="1"/>
      <c r="D566" s="1"/>
      <c r="E566" s="2"/>
      <c r="F566" s="1"/>
      <c r="G566" s="5"/>
      <c r="H566" s="5"/>
      <c r="I566" s="1"/>
      <c r="J566" s="1"/>
      <c r="K566" s="1"/>
      <c r="L566" s="1"/>
      <c r="M566" s="1"/>
      <c r="N566" s="1"/>
      <c r="O566"/>
      <c r="Q566"/>
      <c r="R566"/>
      <c r="S566"/>
      <c r="T566"/>
      <c r="U566"/>
      <c r="V566"/>
    </row>
    <row r="567" spans="2:22" x14ac:dyDescent="0.3">
      <c r="B567"/>
      <c r="C567" s="1"/>
      <c r="D567" s="1"/>
      <c r="E567" s="2"/>
      <c r="F567" s="1"/>
      <c r="G567" s="5"/>
      <c r="H567" s="5"/>
      <c r="I567" s="1"/>
      <c r="J567" s="1"/>
      <c r="K567" s="1"/>
      <c r="L567" s="1"/>
      <c r="M567" s="1"/>
      <c r="N567" s="1"/>
      <c r="O567"/>
      <c r="Q567"/>
      <c r="R567"/>
      <c r="S567"/>
      <c r="T567"/>
      <c r="U567"/>
      <c r="V567"/>
    </row>
    <row r="568" spans="2:22" x14ac:dyDescent="0.3">
      <c r="B568"/>
      <c r="C568" s="1"/>
      <c r="D568" s="1"/>
      <c r="E568" s="2"/>
      <c r="F568" s="1"/>
      <c r="G568" s="5"/>
      <c r="H568" s="5"/>
      <c r="I568" s="1"/>
      <c r="J568" s="1"/>
      <c r="K568" s="1"/>
      <c r="L568" s="1"/>
      <c r="M568" s="1"/>
      <c r="N568" s="1"/>
      <c r="O568"/>
      <c r="Q568"/>
      <c r="R568"/>
      <c r="S568"/>
      <c r="T568"/>
      <c r="U568"/>
      <c r="V568"/>
    </row>
    <row r="569" spans="2:22" x14ac:dyDescent="0.3">
      <c r="B569"/>
      <c r="C569" s="1"/>
      <c r="D569" s="1"/>
      <c r="E569" s="2"/>
      <c r="F569" s="1"/>
      <c r="G569" s="5"/>
      <c r="H569" s="5"/>
      <c r="I569" s="1"/>
      <c r="J569" s="1"/>
      <c r="K569" s="1"/>
      <c r="L569" s="1"/>
      <c r="M569" s="1"/>
      <c r="N569" s="1"/>
      <c r="O569"/>
      <c r="Q569"/>
      <c r="R569"/>
      <c r="S569"/>
      <c r="T569"/>
      <c r="U569"/>
      <c r="V569"/>
    </row>
    <row r="570" spans="2:22" x14ac:dyDescent="0.3">
      <c r="B570"/>
      <c r="C570" s="1"/>
      <c r="D570" s="1"/>
      <c r="E570" s="2"/>
      <c r="F570" s="1"/>
      <c r="G570" s="5"/>
      <c r="H570" s="5"/>
      <c r="I570" s="1"/>
      <c r="J570" s="1"/>
      <c r="K570" s="1"/>
      <c r="L570" s="1"/>
      <c r="M570" s="1"/>
      <c r="N570" s="1"/>
      <c r="O570"/>
      <c r="Q570"/>
      <c r="R570"/>
      <c r="S570"/>
      <c r="T570"/>
      <c r="U570"/>
      <c r="V570"/>
    </row>
    <row r="571" spans="2:22" x14ac:dyDescent="0.3">
      <c r="B571"/>
      <c r="C571" s="1"/>
      <c r="D571" s="1"/>
      <c r="E571" s="2"/>
      <c r="F571" s="1"/>
      <c r="G571" s="5"/>
      <c r="H571" s="5"/>
      <c r="I571" s="1"/>
      <c r="J571" s="1"/>
      <c r="K571" s="1"/>
      <c r="L571" s="1"/>
      <c r="M571" s="1"/>
      <c r="N571" s="1"/>
      <c r="O571"/>
      <c r="Q571"/>
      <c r="R571"/>
      <c r="S571"/>
      <c r="T571"/>
      <c r="U571"/>
      <c r="V571"/>
    </row>
    <row r="572" spans="2:22" x14ac:dyDescent="0.3">
      <c r="B572"/>
      <c r="C572" s="1"/>
      <c r="D572" s="1"/>
      <c r="E572" s="2"/>
      <c r="F572" s="1"/>
      <c r="G572" s="5"/>
      <c r="H572" s="5"/>
      <c r="I572" s="1"/>
      <c r="J572" s="1"/>
      <c r="K572" s="1"/>
      <c r="L572" s="1"/>
      <c r="M572" s="1"/>
      <c r="N572" s="1"/>
      <c r="O572"/>
      <c r="Q572"/>
      <c r="R572"/>
      <c r="S572"/>
      <c r="T572"/>
      <c r="U572"/>
      <c r="V572"/>
    </row>
    <row r="573" spans="2:22" x14ac:dyDescent="0.3">
      <c r="B573"/>
      <c r="C573" s="1"/>
      <c r="D573" s="1"/>
      <c r="E573" s="2"/>
      <c r="F573" s="1"/>
      <c r="G573" s="5"/>
      <c r="H573" s="5"/>
      <c r="I573" s="1"/>
      <c r="J573" s="1"/>
      <c r="K573" s="1"/>
      <c r="L573" s="1"/>
      <c r="M573" s="1"/>
      <c r="N573" s="1"/>
      <c r="O573"/>
      <c r="Q573"/>
      <c r="R573"/>
      <c r="S573"/>
      <c r="T573"/>
      <c r="U573"/>
      <c r="V573"/>
    </row>
    <row r="574" spans="2:22" x14ac:dyDescent="0.3">
      <c r="B574"/>
      <c r="C574" s="1"/>
      <c r="D574" s="1"/>
      <c r="E574" s="2"/>
      <c r="F574" s="1"/>
      <c r="G574" s="5"/>
      <c r="H574" s="5"/>
      <c r="I574" s="1"/>
      <c r="J574" s="1"/>
      <c r="K574" s="1"/>
      <c r="L574" s="1"/>
      <c r="M574" s="1"/>
      <c r="N574" s="1"/>
      <c r="O574"/>
      <c r="Q574"/>
      <c r="R574"/>
      <c r="S574"/>
      <c r="T574"/>
      <c r="U574"/>
      <c r="V574"/>
    </row>
    <row r="575" spans="2:22" x14ac:dyDescent="0.3">
      <c r="B575"/>
      <c r="C575" s="1"/>
      <c r="D575" s="1"/>
      <c r="E575" s="2"/>
      <c r="F575" s="1"/>
      <c r="G575" s="5"/>
      <c r="H575" s="5"/>
      <c r="I575" s="1"/>
      <c r="J575" s="1"/>
      <c r="K575" s="1"/>
      <c r="L575" s="1"/>
      <c r="M575" s="1"/>
      <c r="N575" s="1"/>
      <c r="O575"/>
      <c r="Q575"/>
      <c r="R575"/>
      <c r="S575"/>
      <c r="T575"/>
      <c r="U575"/>
      <c r="V575"/>
    </row>
    <row r="576" spans="2:22" x14ac:dyDescent="0.3">
      <c r="B576"/>
      <c r="C576" s="1"/>
      <c r="D576" s="1"/>
      <c r="E576" s="2"/>
      <c r="F576" s="1"/>
      <c r="G576" s="5"/>
      <c r="H576" s="5"/>
      <c r="I576" s="1"/>
      <c r="J576" s="1"/>
      <c r="K576" s="1"/>
      <c r="L576" s="1"/>
      <c r="M576" s="1"/>
      <c r="N576" s="1"/>
      <c r="O576"/>
      <c r="Q576"/>
      <c r="R576"/>
      <c r="S576"/>
      <c r="T576"/>
      <c r="U576"/>
      <c r="V576"/>
    </row>
    <row r="577" spans="2:22" x14ac:dyDescent="0.3">
      <c r="B577"/>
      <c r="C577" s="1"/>
      <c r="D577" s="1"/>
      <c r="E577" s="2"/>
      <c r="F577" s="1"/>
      <c r="G577" s="5"/>
      <c r="H577" s="5"/>
      <c r="I577" s="1"/>
      <c r="J577" s="1"/>
      <c r="K577" s="1"/>
      <c r="L577" s="1"/>
      <c r="M577" s="1"/>
      <c r="N577" s="1"/>
      <c r="O577"/>
      <c r="Q577"/>
      <c r="R577"/>
      <c r="S577"/>
      <c r="T577"/>
      <c r="U577"/>
      <c r="V577"/>
    </row>
    <row r="578" spans="2:22" x14ac:dyDescent="0.3">
      <c r="B578"/>
      <c r="C578" s="1"/>
      <c r="D578" s="1"/>
      <c r="E578" s="2"/>
      <c r="F578" s="1"/>
      <c r="G578" s="5"/>
      <c r="H578" s="5"/>
      <c r="I578" s="1"/>
      <c r="J578" s="1"/>
      <c r="K578" s="1"/>
      <c r="L578" s="1"/>
      <c r="M578" s="1"/>
      <c r="N578" s="1"/>
      <c r="O578"/>
      <c r="Q578"/>
      <c r="R578"/>
      <c r="S578"/>
      <c r="T578"/>
      <c r="U578"/>
      <c r="V578"/>
    </row>
    <row r="579" spans="2:22" x14ac:dyDescent="0.3">
      <c r="B579"/>
      <c r="C579" s="1"/>
      <c r="D579" s="1"/>
      <c r="E579" s="2"/>
      <c r="F579" s="1"/>
      <c r="G579" s="5"/>
      <c r="H579" s="5"/>
      <c r="I579" s="1"/>
      <c r="J579" s="1"/>
      <c r="K579" s="1"/>
      <c r="L579" s="1"/>
      <c r="M579" s="1"/>
      <c r="N579" s="1"/>
      <c r="O579"/>
      <c r="Q579"/>
      <c r="R579"/>
      <c r="S579"/>
      <c r="T579"/>
      <c r="U579"/>
      <c r="V579"/>
    </row>
    <row r="580" spans="2:22" x14ac:dyDescent="0.3">
      <c r="B580"/>
      <c r="C580" s="1"/>
      <c r="D580" s="1"/>
      <c r="E580" s="2"/>
      <c r="F580" s="1"/>
      <c r="G580" s="5"/>
      <c r="H580" s="5"/>
      <c r="I580" s="1"/>
      <c r="J580" s="1"/>
      <c r="K580" s="1"/>
      <c r="L580" s="1"/>
      <c r="M580" s="1"/>
      <c r="N580" s="1"/>
      <c r="O580"/>
      <c r="Q580"/>
      <c r="R580"/>
      <c r="S580"/>
      <c r="T580"/>
      <c r="U580"/>
      <c r="V580"/>
    </row>
    <row r="581" spans="2:22" x14ac:dyDescent="0.3">
      <c r="B581"/>
      <c r="C581" s="1"/>
      <c r="D581" s="1"/>
      <c r="E581" s="2"/>
      <c r="F581" s="1"/>
      <c r="G581" s="5"/>
      <c r="H581" s="5"/>
      <c r="I581" s="1"/>
      <c r="J581" s="1"/>
      <c r="K581" s="1"/>
      <c r="L581" s="1"/>
      <c r="M581" s="1"/>
      <c r="N581" s="1"/>
      <c r="O581"/>
      <c r="Q581"/>
      <c r="R581"/>
      <c r="S581"/>
      <c r="T581"/>
      <c r="U581"/>
      <c r="V581"/>
    </row>
    <row r="582" spans="2:22" x14ac:dyDescent="0.3">
      <c r="B582"/>
      <c r="C582" s="1"/>
      <c r="D582" s="1"/>
      <c r="E582" s="2"/>
      <c r="F582" s="1"/>
      <c r="G582" s="5"/>
      <c r="H582" s="5"/>
      <c r="I582" s="1"/>
      <c r="J582" s="1"/>
      <c r="K582" s="1"/>
      <c r="L582" s="1"/>
      <c r="M582" s="1"/>
      <c r="N582" s="1"/>
      <c r="O582"/>
      <c r="Q582"/>
      <c r="R582"/>
      <c r="S582"/>
      <c r="T582"/>
      <c r="U582"/>
      <c r="V582"/>
    </row>
    <row r="583" spans="2:22" x14ac:dyDescent="0.3">
      <c r="B583"/>
      <c r="C583" s="1"/>
      <c r="D583" s="1"/>
      <c r="E583" s="2"/>
      <c r="F583" s="1"/>
      <c r="G583" s="5"/>
      <c r="H583" s="5"/>
      <c r="I583" s="1"/>
      <c r="J583" s="1"/>
      <c r="K583" s="1"/>
      <c r="L583" s="1"/>
      <c r="M583" s="1"/>
      <c r="N583" s="1"/>
      <c r="O583"/>
      <c r="Q583"/>
      <c r="R583"/>
      <c r="S583"/>
      <c r="T583"/>
      <c r="U583"/>
      <c r="V583"/>
    </row>
    <row r="584" spans="2:22" x14ac:dyDescent="0.3">
      <c r="B584"/>
      <c r="C584" s="1"/>
      <c r="D584" s="1"/>
      <c r="E584" s="2"/>
      <c r="F584" s="1"/>
      <c r="G584" s="5"/>
      <c r="H584" s="5"/>
      <c r="I584" s="1"/>
      <c r="J584" s="1"/>
      <c r="K584" s="1"/>
      <c r="L584" s="1"/>
      <c r="M584" s="1"/>
      <c r="N584" s="1"/>
      <c r="O584"/>
      <c r="Q584"/>
      <c r="R584"/>
      <c r="S584"/>
      <c r="T584"/>
      <c r="U584"/>
      <c r="V584"/>
    </row>
    <row r="585" spans="2:22" x14ac:dyDescent="0.3">
      <c r="B585"/>
      <c r="C585" s="1"/>
      <c r="D585" s="1"/>
      <c r="E585" s="2"/>
      <c r="F585" s="1"/>
      <c r="G585" s="5"/>
      <c r="H585" s="5"/>
      <c r="I585" s="1"/>
      <c r="J585" s="1"/>
      <c r="K585" s="1"/>
      <c r="L585" s="1"/>
      <c r="M585" s="1"/>
      <c r="N585" s="1"/>
      <c r="O585"/>
      <c r="Q585"/>
      <c r="R585"/>
      <c r="S585"/>
      <c r="T585"/>
      <c r="U585"/>
      <c r="V585"/>
    </row>
    <row r="586" spans="2:22" x14ac:dyDescent="0.3">
      <c r="B586"/>
      <c r="C586" s="1"/>
      <c r="D586" s="1"/>
      <c r="E586" s="2"/>
      <c r="F586" s="1"/>
      <c r="G586" s="5"/>
      <c r="H586" s="5"/>
      <c r="I586" s="1"/>
      <c r="J586" s="1"/>
      <c r="K586" s="1"/>
      <c r="L586" s="1"/>
      <c r="M586" s="1"/>
      <c r="N586" s="1"/>
      <c r="O586"/>
      <c r="Q586"/>
      <c r="R586"/>
      <c r="S586"/>
      <c r="T586"/>
      <c r="U586"/>
      <c r="V586"/>
    </row>
    <row r="587" spans="2:22" x14ac:dyDescent="0.3">
      <c r="B587"/>
      <c r="C587" s="1"/>
      <c r="D587" s="1"/>
      <c r="E587" s="2"/>
      <c r="F587" s="1"/>
      <c r="G587" s="5"/>
      <c r="H587" s="5"/>
      <c r="I587" s="1"/>
      <c r="J587" s="1"/>
      <c r="K587" s="1"/>
      <c r="L587" s="1"/>
      <c r="M587" s="1"/>
      <c r="N587" s="1"/>
      <c r="O587"/>
      <c r="Q587"/>
      <c r="R587"/>
      <c r="S587"/>
      <c r="T587"/>
      <c r="U587"/>
      <c r="V587"/>
    </row>
    <row r="588" spans="2:22" x14ac:dyDescent="0.3">
      <c r="B588"/>
      <c r="C588" s="1"/>
      <c r="D588" s="1"/>
      <c r="E588" s="2"/>
      <c r="F588" s="1"/>
      <c r="G588" s="5"/>
      <c r="H588" s="5"/>
      <c r="I588" s="1"/>
      <c r="J588" s="1"/>
      <c r="K588" s="1"/>
      <c r="L588" s="1"/>
      <c r="M588" s="1"/>
      <c r="N588" s="1"/>
      <c r="O588"/>
      <c r="Q588"/>
      <c r="R588"/>
      <c r="S588"/>
      <c r="T588"/>
      <c r="U588"/>
      <c r="V588"/>
    </row>
    <row r="589" spans="2:22" x14ac:dyDescent="0.3">
      <c r="B589"/>
      <c r="C589" s="1"/>
      <c r="D589" s="1"/>
      <c r="E589" s="2"/>
      <c r="F589" s="1"/>
      <c r="G589" s="5"/>
      <c r="H589" s="5"/>
      <c r="I589" s="1"/>
      <c r="J589" s="1"/>
      <c r="K589" s="1"/>
      <c r="L589" s="1"/>
      <c r="M589" s="1"/>
      <c r="N589" s="1"/>
      <c r="O589"/>
      <c r="Q589"/>
      <c r="R589"/>
      <c r="S589"/>
      <c r="T589"/>
      <c r="U589"/>
      <c r="V589"/>
    </row>
    <row r="590" spans="2:22" x14ac:dyDescent="0.3">
      <c r="B590"/>
      <c r="C590" s="1"/>
      <c r="D590" s="1"/>
      <c r="E590" s="2"/>
      <c r="F590" s="1"/>
      <c r="G590" s="5"/>
      <c r="H590" s="5"/>
      <c r="I590" s="1"/>
      <c r="J590" s="1"/>
      <c r="K590" s="1"/>
      <c r="L590" s="1"/>
      <c r="M590" s="1"/>
      <c r="N590" s="1"/>
      <c r="O590"/>
      <c r="Q590"/>
      <c r="R590"/>
      <c r="S590"/>
      <c r="T590"/>
      <c r="U590"/>
      <c r="V590"/>
    </row>
    <row r="591" spans="2:22" x14ac:dyDescent="0.3">
      <c r="B591"/>
      <c r="C591" s="1"/>
      <c r="D591" s="1"/>
      <c r="E591" s="2"/>
      <c r="F591" s="1"/>
      <c r="G591" s="5"/>
      <c r="H591" s="5"/>
      <c r="I591" s="1"/>
      <c r="J591" s="1"/>
      <c r="K591" s="1"/>
      <c r="L591" s="1"/>
      <c r="M591" s="1"/>
      <c r="N591" s="1"/>
      <c r="O591"/>
      <c r="Q591"/>
      <c r="R591"/>
      <c r="S591"/>
      <c r="T591"/>
      <c r="U591"/>
      <c r="V591"/>
    </row>
    <row r="592" spans="2:22" x14ac:dyDescent="0.3">
      <c r="B592"/>
      <c r="C592" s="1"/>
      <c r="D592" s="1"/>
      <c r="E592" s="2"/>
      <c r="F592" s="1"/>
      <c r="G592" s="5"/>
      <c r="H592" s="5"/>
      <c r="I592" s="1"/>
      <c r="J592" s="1"/>
      <c r="K592" s="1"/>
      <c r="L592" s="1"/>
      <c r="M592" s="1"/>
      <c r="N592" s="1"/>
      <c r="O592"/>
      <c r="Q592"/>
      <c r="R592"/>
      <c r="S592"/>
      <c r="T592"/>
      <c r="U592"/>
      <c r="V592"/>
    </row>
    <row r="593" spans="2:22" x14ac:dyDescent="0.3">
      <c r="B593"/>
      <c r="C593" s="1"/>
      <c r="D593" s="1"/>
      <c r="E593" s="2"/>
      <c r="F593" s="1"/>
      <c r="G593" s="5"/>
      <c r="H593" s="5"/>
      <c r="I593" s="1"/>
      <c r="J593" s="1"/>
      <c r="K593" s="1"/>
      <c r="L593" s="1"/>
      <c r="M593" s="1"/>
      <c r="N593" s="1"/>
      <c r="O593"/>
      <c r="Q593"/>
      <c r="R593"/>
      <c r="S593"/>
      <c r="T593"/>
      <c r="U593"/>
      <c r="V593"/>
    </row>
    <row r="594" spans="2:22" x14ac:dyDescent="0.3">
      <c r="B594"/>
      <c r="C594" s="1"/>
      <c r="D594" s="1"/>
      <c r="E594" s="2"/>
      <c r="F594" s="1"/>
      <c r="G594" s="5"/>
      <c r="H594" s="5"/>
      <c r="I594" s="1"/>
      <c r="J594" s="1"/>
      <c r="K594" s="1"/>
      <c r="L594" s="1"/>
      <c r="M594" s="1"/>
      <c r="N594" s="1"/>
      <c r="O594"/>
      <c r="Q594"/>
      <c r="R594"/>
      <c r="S594"/>
      <c r="T594"/>
      <c r="U594"/>
      <c r="V594"/>
    </row>
    <row r="595" spans="2:22" x14ac:dyDescent="0.3">
      <c r="B595"/>
      <c r="C595" s="1"/>
      <c r="D595" s="1"/>
      <c r="E595" s="2"/>
      <c r="F595" s="1"/>
      <c r="G595" s="5"/>
      <c r="H595" s="5"/>
      <c r="I595" s="1"/>
      <c r="J595" s="1"/>
      <c r="K595" s="1"/>
      <c r="L595" s="1"/>
      <c r="M595" s="1"/>
      <c r="N595" s="1"/>
      <c r="O595"/>
      <c r="Q595"/>
      <c r="R595"/>
      <c r="S595"/>
      <c r="T595"/>
      <c r="U595"/>
      <c r="V595"/>
    </row>
    <row r="596" spans="2:22" x14ac:dyDescent="0.3">
      <c r="B596"/>
      <c r="C596" s="1"/>
      <c r="D596" s="1"/>
      <c r="E596" s="2"/>
      <c r="F596" s="1"/>
      <c r="G596" s="5"/>
      <c r="H596" s="5"/>
      <c r="I596" s="1"/>
      <c r="J596" s="1"/>
      <c r="K596" s="1"/>
      <c r="L596" s="1"/>
      <c r="M596" s="1"/>
      <c r="N596" s="1"/>
      <c r="O596"/>
      <c r="Q596"/>
      <c r="R596"/>
      <c r="S596"/>
      <c r="T596"/>
      <c r="U596"/>
      <c r="V596"/>
    </row>
    <row r="597" spans="2:22" x14ac:dyDescent="0.3">
      <c r="B597"/>
      <c r="C597" s="1"/>
      <c r="D597" s="1"/>
      <c r="E597" s="2"/>
      <c r="F597" s="1"/>
      <c r="G597" s="5"/>
      <c r="H597" s="5"/>
      <c r="I597" s="1"/>
      <c r="J597" s="1"/>
      <c r="K597" s="1"/>
      <c r="L597" s="1"/>
      <c r="M597" s="1"/>
      <c r="N597" s="1"/>
      <c r="O597"/>
      <c r="Q597"/>
      <c r="R597"/>
      <c r="S597"/>
      <c r="T597"/>
      <c r="U597"/>
      <c r="V597"/>
    </row>
    <row r="598" spans="2:22" x14ac:dyDescent="0.3">
      <c r="B598"/>
      <c r="C598" s="1"/>
      <c r="D598" s="1"/>
      <c r="E598" s="2"/>
      <c r="F598" s="1"/>
      <c r="G598" s="5"/>
      <c r="H598" s="5"/>
      <c r="I598" s="1"/>
      <c r="J598" s="1"/>
      <c r="K598" s="1"/>
      <c r="L598" s="1"/>
      <c r="M598" s="1"/>
      <c r="N598" s="1"/>
      <c r="O598"/>
      <c r="Q598"/>
      <c r="R598"/>
      <c r="S598"/>
      <c r="T598"/>
      <c r="U598"/>
      <c r="V598"/>
    </row>
    <row r="599" spans="2:22" x14ac:dyDescent="0.3">
      <c r="B599"/>
      <c r="C599" s="1"/>
      <c r="D599" s="1"/>
      <c r="E599" s="2"/>
      <c r="F599" s="1"/>
      <c r="G599" s="5"/>
      <c r="H599" s="5"/>
      <c r="I599" s="1"/>
      <c r="J599" s="1"/>
      <c r="K599" s="1"/>
      <c r="L599" s="1"/>
      <c r="M599" s="1"/>
      <c r="N599" s="1"/>
      <c r="O599"/>
      <c r="Q599"/>
      <c r="R599"/>
      <c r="S599"/>
      <c r="T599"/>
      <c r="U599"/>
      <c r="V599"/>
    </row>
    <row r="600" spans="2:22" x14ac:dyDescent="0.3">
      <c r="B600"/>
      <c r="C600" s="1"/>
      <c r="D600" s="1"/>
      <c r="E600" s="2"/>
      <c r="F600" s="1"/>
      <c r="G600" s="5"/>
      <c r="H600" s="5"/>
      <c r="I600" s="1"/>
      <c r="J600" s="1"/>
      <c r="K600" s="1"/>
      <c r="L600" s="1"/>
      <c r="M600" s="1"/>
      <c r="N600" s="1"/>
      <c r="O600"/>
      <c r="Q600"/>
      <c r="R600"/>
      <c r="S600"/>
      <c r="T600"/>
      <c r="U600"/>
      <c r="V600"/>
    </row>
    <row r="601" spans="2:22" x14ac:dyDescent="0.3">
      <c r="B601"/>
      <c r="C601" s="1"/>
      <c r="D601" s="1"/>
      <c r="E601" s="2"/>
      <c r="F601" s="1"/>
      <c r="G601" s="5"/>
      <c r="H601" s="5"/>
      <c r="I601" s="1"/>
      <c r="J601" s="1"/>
      <c r="K601" s="1"/>
      <c r="L601" s="1"/>
      <c r="M601" s="1"/>
      <c r="N601" s="1"/>
      <c r="O601"/>
      <c r="Q601"/>
      <c r="R601"/>
      <c r="S601"/>
      <c r="T601"/>
      <c r="U601"/>
      <c r="V601"/>
    </row>
    <row r="602" spans="2:22" x14ac:dyDescent="0.3">
      <c r="B602"/>
      <c r="C602" s="1"/>
      <c r="D602" s="1"/>
      <c r="E602" s="2"/>
      <c r="F602" s="1"/>
      <c r="G602" s="5"/>
      <c r="H602" s="5"/>
      <c r="I602" s="1"/>
      <c r="J602" s="1"/>
      <c r="K602" s="1"/>
      <c r="L602" s="1"/>
      <c r="M602" s="1"/>
      <c r="N602" s="1"/>
      <c r="O602"/>
      <c r="Q602"/>
      <c r="R602"/>
      <c r="S602"/>
      <c r="T602"/>
      <c r="U602"/>
      <c r="V602"/>
    </row>
    <row r="603" spans="2:22" x14ac:dyDescent="0.3">
      <c r="B603"/>
      <c r="C603" s="1"/>
      <c r="D603" s="1"/>
      <c r="E603" s="2"/>
      <c r="F603" s="1"/>
      <c r="G603" s="5"/>
      <c r="H603" s="5"/>
      <c r="I603" s="1"/>
      <c r="J603" s="1"/>
      <c r="K603" s="1"/>
      <c r="L603" s="1"/>
      <c r="M603" s="1"/>
      <c r="N603" s="1"/>
      <c r="O603"/>
      <c r="Q603"/>
      <c r="R603"/>
      <c r="S603"/>
      <c r="T603"/>
      <c r="U603"/>
      <c r="V603"/>
    </row>
    <row r="604" spans="2:22" x14ac:dyDescent="0.3">
      <c r="B604"/>
      <c r="C604" s="1"/>
      <c r="D604" s="1"/>
      <c r="E604" s="2"/>
      <c r="F604" s="1"/>
      <c r="G604" s="5"/>
      <c r="H604" s="5"/>
      <c r="I604" s="1"/>
      <c r="J604" s="1"/>
      <c r="K604" s="1"/>
      <c r="L604" s="1"/>
      <c r="M604" s="1"/>
      <c r="N604" s="1"/>
      <c r="O604"/>
      <c r="Q604"/>
      <c r="R604"/>
      <c r="S604"/>
      <c r="T604"/>
      <c r="U604"/>
      <c r="V604"/>
    </row>
    <row r="605" spans="2:22" x14ac:dyDescent="0.3">
      <c r="B605"/>
      <c r="C605" s="1"/>
      <c r="D605" s="1"/>
      <c r="E605" s="2"/>
      <c r="F605" s="1"/>
      <c r="G605" s="5"/>
      <c r="H605" s="5"/>
      <c r="I605" s="1"/>
      <c r="J605" s="1"/>
      <c r="K605" s="1"/>
      <c r="L605" s="1"/>
      <c r="M605" s="1"/>
      <c r="N605" s="1"/>
      <c r="O605"/>
      <c r="Q605"/>
      <c r="R605"/>
      <c r="S605"/>
      <c r="T605"/>
      <c r="U605"/>
      <c r="V605"/>
    </row>
    <row r="606" spans="2:22" x14ac:dyDescent="0.3">
      <c r="B606"/>
      <c r="C606" s="1"/>
      <c r="D606" s="1"/>
      <c r="E606" s="2"/>
      <c r="F606" s="1"/>
      <c r="G606" s="5"/>
      <c r="H606" s="5"/>
      <c r="I606" s="1"/>
      <c r="J606" s="1"/>
      <c r="K606" s="1"/>
      <c r="L606" s="1"/>
      <c r="M606" s="1"/>
      <c r="N606" s="1"/>
      <c r="O606"/>
      <c r="Q606"/>
      <c r="R606"/>
      <c r="S606"/>
      <c r="T606"/>
      <c r="U606"/>
      <c r="V606"/>
    </row>
    <row r="607" spans="2:22" x14ac:dyDescent="0.3">
      <c r="B607"/>
      <c r="C607" s="1"/>
      <c r="D607" s="1"/>
      <c r="E607" s="2"/>
      <c r="F607" s="1"/>
      <c r="G607" s="5"/>
      <c r="H607" s="5"/>
      <c r="I607" s="1"/>
      <c r="J607" s="1"/>
      <c r="K607" s="1"/>
      <c r="L607" s="1"/>
      <c r="M607" s="1"/>
      <c r="N607" s="1"/>
      <c r="O607"/>
      <c r="Q607"/>
      <c r="R607"/>
      <c r="S607"/>
      <c r="T607"/>
      <c r="U607"/>
      <c r="V607"/>
    </row>
    <row r="608" spans="2:22" x14ac:dyDescent="0.3">
      <c r="B608"/>
      <c r="C608" s="1"/>
      <c r="D608" s="1"/>
      <c r="E608" s="2"/>
      <c r="F608" s="1"/>
      <c r="G608" s="5"/>
      <c r="H608" s="5"/>
      <c r="I608" s="1"/>
      <c r="J608" s="1"/>
      <c r="K608" s="1"/>
      <c r="L608" s="1"/>
      <c r="M608" s="1"/>
      <c r="N608" s="1"/>
      <c r="O608"/>
      <c r="Q608"/>
      <c r="R608"/>
      <c r="S608"/>
      <c r="T608"/>
      <c r="U608"/>
      <c r="V608"/>
    </row>
    <row r="609" spans="2:22" x14ac:dyDescent="0.3">
      <c r="B609"/>
      <c r="C609" s="1"/>
      <c r="D609" s="1"/>
      <c r="E609" s="2"/>
      <c r="F609" s="1"/>
      <c r="G609" s="5"/>
      <c r="H609" s="5"/>
      <c r="I609" s="1"/>
      <c r="J609" s="1"/>
      <c r="K609" s="1"/>
      <c r="L609" s="1"/>
      <c r="M609" s="1"/>
      <c r="N609" s="1"/>
      <c r="O609"/>
      <c r="Q609"/>
      <c r="R609"/>
      <c r="S609"/>
      <c r="T609"/>
      <c r="U609"/>
      <c r="V609"/>
    </row>
    <row r="610" spans="2:22" x14ac:dyDescent="0.3">
      <c r="B610"/>
      <c r="C610" s="1"/>
      <c r="D610" s="1"/>
      <c r="E610" s="2"/>
      <c r="F610" s="1"/>
      <c r="G610" s="5"/>
      <c r="H610" s="5"/>
      <c r="I610" s="1"/>
      <c r="J610" s="1"/>
      <c r="K610" s="1"/>
      <c r="L610" s="1"/>
      <c r="M610" s="1"/>
      <c r="N610" s="1"/>
      <c r="O610"/>
      <c r="Q610"/>
      <c r="R610"/>
      <c r="S610"/>
      <c r="T610"/>
      <c r="U610"/>
      <c r="V610"/>
    </row>
    <row r="611" spans="2:22" x14ac:dyDescent="0.3">
      <c r="B611"/>
      <c r="C611" s="1"/>
      <c r="D611" s="1"/>
      <c r="E611" s="2"/>
      <c r="F611" s="1"/>
      <c r="G611" s="5"/>
      <c r="H611" s="5"/>
      <c r="I611" s="1"/>
      <c r="J611" s="1"/>
      <c r="K611" s="1"/>
      <c r="L611" s="1"/>
      <c r="M611" s="1"/>
      <c r="N611" s="1"/>
      <c r="O611"/>
      <c r="Q611"/>
      <c r="R611"/>
      <c r="S611"/>
      <c r="T611"/>
      <c r="U611"/>
      <c r="V611"/>
    </row>
    <row r="612" spans="2:22" x14ac:dyDescent="0.3">
      <c r="B612"/>
      <c r="C612" s="1"/>
      <c r="D612" s="1"/>
      <c r="E612" s="2"/>
      <c r="F612" s="1"/>
      <c r="G612" s="5"/>
      <c r="H612" s="5"/>
      <c r="I612" s="1"/>
      <c r="J612" s="1"/>
      <c r="K612" s="1"/>
      <c r="L612" s="1"/>
      <c r="M612" s="1"/>
      <c r="N612" s="1"/>
      <c r="O612"/>
      <c r="Q612"/>
      <c r="R612"/>
      <c r="S612"/>
      <c r="T612"/>
      <c r="U612"/>
      <c r="V612"/>
    </row>
    <row r="613" spans="2:22" x14ac:dyDescent="0.3">
      <c r="B613"/>
      <c r="C613" s="1"/>
      <c r="D613" s="1"/>
      <c r="E613" s="2"/>
      <c r="F613" s="1"/>
      <c r="G613" s="5"/>
      <c r="H613" s="5"/>
      <c r="I613" s="1"/>
      <c r="J613" s="1"/>
      <c r="K613" s="1"/>
      <c r="L613" s="1"/>
      <c r="M613" s="1"/>
      <c r="N613" s="1"/>
      <c r="O613"/>
      <c r="Q613"/>
      <c r="R613"/>
      <c r="S613"/>
      <c r="T613"/>
      <c r="U613"/>
      <c r="V613"/>
    </row>
    <row r="614" spans="2:22" x14ac:dyDescent="0.3">
      <c r="B614"/>
      <c r="C614" s="1"/>
      <c r="D614" s="1"/>
      <c r="E614" s="2"/>
      <c r="F614" s="1"/>
      <c r="G614" s="5"/>
      <c r="H614" s="5"/>
      <c r="I614" s="1"/>
      <c r="J614" s="1"/>
      <c r="K614" s="1"/>
      <c r="L614" s="1"/>
      <c r="M614" s="1"/>
      <c r="N614" s="1"/>
      <c r="O614"/>
      <c r="Q614"/>
      <c r="R614"/>
      <c r="S614"/>
      <c r="T614"/>
      <c r="U614"/>
      <c r="V614"/>
    </row>
    <row r="615" spans="2:22" x14ac:dyDescent="0.3">
      <c r="B615"/>
      <c r="C615" s="1"/>
      <c r="D615" s="1"/>
      <c r="E615" s="2"/>
      <c r="F615" s="1"/>
      <c r="G615" s="5"/>
      <c r="H615" s="5"/>
      <c r="I615" s="1"/>
      <c r="J615" s="1"/>
      <c r="K615" s="1"/>
      <c r="L615" s="1"/>
      <c r="M615" s="1"/>
      <c r="N615" s="1"/>
      <c r="O615"/>
      <c r="Q615"/>
      <c r="R615"/>
      <c r="S615"/>
      <c r="T615"/>
      <c r="U615"/>
      <c r="V615"/>
    </row>
    <row r="616" spans="2:22" x14ac:dyDescent="0.3">
      <c r="B616"/>
      <c r="C616" s="1"/>
      <c r="D616" s="1"/>
      <c r="E616" s="2"/>
      <c r="F616" s="1"/>
      <c r="G616" s="5"/>
      <c r="H616" s="5"/>
      <c r="I616" s="1"/>
      <c r="J616" s="1"/>
      <c r="K616" s="1"/>
      <c r="L616" s="1"/>
      <c r="M616" s="1"/>
      <c r="N616" s="1"/>
      <c r="O616"/>
      <c r="Q616"/>
      <c r="R616"/>
      <c r="S616"/>
      <c r="T616"/>
      <c r="U616"/>
      <c r="V616"/>
    </row>
    <row r="617" spans="2:22" x14ac:dyDescent="0.3">
      <c r="B617"/>
      <c r="C617" s="1"/>
      <c r="D617" s="1"/>
      <c r="E617" s="2"/>
      <c r="F617" s="1"/>
      <c r="G617" s="5"/>
      <c r="H617" s="5"/>
      <c r="I617" s="1"/>
      <c r="J617" s="1"/>
      <c r="K617" s="1"/>
      <c r="L617" s="1"/>
      <c r="M617" s="1"/>
      <c r="N617" s="1"/>
      <c r="O617"/>
      <c r="Q617"/>
      <c r="R617"/>
      <c r="S617"/>
      <c r="T617"/>
      <c r="U617"/>
      <c r="V617"/>
    </row>
    <row r="618" spans="2:22" x14ac:dyDescent="0.3">
      <c r="B618"/>
      <c r="C618" s="1"/>
      <c r="D618" s="1"/>
      <c r="E618" s="2"/>
      <c r="F618" s="1"/>
      <c r="G618" s="5"/>
      <c r="H618" s="5"/>
      <c r="I618" s="1"/>
      <c r="J618" s="1"/>
      <c r="K618" s="1"/>
      <c r="L618" s="1"/>
      <c r="M618" s="1"/>
      <c r="N618" s="1"/>
      <c r="O618"/>
      <c r="Q618"/>
      <c r="R618"/>
      <c r="S618"/>
      <c r="T618"/>
      <c r="U618"/>
      <c r="V618"/>
    </row>
    <row r="619" spans="2:22" x14ac:dyDescent="0.3">
      <c r="B619"/>
      <c r="C619" s="1"/>
      <c r="D619" s="1"/>
      <c r="E619" s="2"/>
      <c r="F619" s="1"/>
      <c r="G619" s="5"/>
      <c r="H619" s="5"/>
      <c r="I619" s="1"/>
      <c r="J619" s="1"/>
      <c r="K619" s="1"/>
      <c r="L619" s="1"/>
      <c r="M619" s="1"/>
      <c r="N619" s="1"/>
      <c r="O619"/>
      <c r="Q619"/>
      <c r="R619"/>
      <c r="S619"/>
      <c r="T619"/>
      <c r="U619"/>
      <c r="V619"/>
    </row>
    <row r="620" spans="2:22" x14ac:dyDescent="0.3">
      <c r="B620"/>
      <c r="C620" s="1"/>
      <c r="D620" s="1"/>
      <c r="E620" s="2"/>
      <c r="F620" s="1"/>
      <c r="G620" s="5"/>
      <c r="H620" s="5"/>
      <c r="I620" s="1"/>
      <c r="J620" s="1"/>
      <c r="K620" s="1"/>
      <c r="L620" s="1"/>
      <c r="M620" s="1"/>
      <c r="N620" s="1"/>
      <c r="O620"/>
      <c r="Q620"/>
      <c r="R620"/>
      <c r="S620"/>
      <c r="T620"/>
      <c r="U620"/>
      <c r="V620"/>
    </row>
    <row r="621" spans="2:22" x14ac:dyDescent="0.3">
      <c r="B621"/>
      <c r="C621" s="1"/>
      <c r="D621" s="1"/>
      <c r="E621" s="2"/>
      <c r="F621" s="1"/>
      <c r="G621" s="5"/>
      <c r="H621" s="5"/>
      <c r="I621" s="1"/>
      <c r="J621" s="1"/>
      <c r="K621" s="1"/>
      <c r="L621" s="1"/>
      <c r="M621" s="1"/>
      <c r="N621" s="1"/>
      <c r="O621"/>
      <c r="Q621"/>
      <c r="R621"/>
      <c r="S621"/>
      <c r="T621"/>
      <c r="U621"/>
      <c r="V621"/>
    </row>
    <row r="622" spans="2:22" x14ac:dyDescent="0.3">
      <c r="B622"/>
      <c r="C622" s="1"/>
      <c r="D622" s="1"/>
      <c r="E622" s="2"/>
      <c r="F622" s="1"/>
      <c r="G622" s="5"/>
      <c r="H622" s="5"/>
      <c r="I622" s="1"/>
      <c r="J622" s="1"/>
      <c r="K622" s="1"/>
      <c r="L622" s="1"/>
      <c r="M622" s="1"/>
      <c r="N622" s="1"/>
      <c r="O622"/>
      <c r="Q622"/>
      <c r="R622"/>
      <c r="S622"/>
      <c r="T622"/>
      <c r="U622"/>
      <c r="V622"/>
    </row>
    <row r="623" spans="2:22" x14ac:dyDescent="0.3">
      <c r="B623"/>
      <c r="C623" s="1"/>
      <c r="D623" s="1"/>
      <c r="E623" s="2"/>
      <c r="F623" s="1"/>
      <c r="G623" s="5"/>
      <c r="H623" s="5"/>
      <c r="I623" s="1"/>
      <c r="J623" s="1"/>
      <c r="K623" s="1"/>
      <c r="L623" s="1"/>
      <c r="M623" s="1"/>
      <c r="N623" s="1"/>
      <c r="O623"/>
      <c r="Q623"/>
      <c r="R623"/>
      <c r="S623"/>
      <c r="T623"/>
      <c r="U623"/>
      <c r="V623"/>
    </row>
    <row r="624" spans="2:22" x14ac:dyDescent="0.3">
      <c r="B624"/>
      <c r="C624" s="1"/>
      <c r="D624" s="1"/>
      <c r="E624" s="2"/>
      <c r="F624" s="1"/>
      <c r="G624" s="5"/>
      <c r="H624" s="5"/>
      <c r="I624" s="1"/>
      <c r="J624" s="1"/>
      <c r="K624" s="1"/>
      <c r="L624" s="1"/>
      <c r="M624" s="1"/>
      <c r="N624" s="1"/>
      <c r="O624"/>
      <c r="Q624"/>
      <c r="R624"/>
      <c r="S624"/>
      <c r="T624"/>
      <c r="U624"/>
      <c r="V624"/>
    </row>
    <row r="625" spans="2:22" x14ac:dyDescent="0.3">
      <c r="B625"/>
      <c r="C625" s="1"/>
      <c r="D625" s="1"/>
      <c r="E625" s="2"/>
      <c r="F625" s="1"/>
      <c r="G625" s="5"/>
      <c r="H625" s="5"/>
      <c r="I625" s="1"/>
      <c r="J625" s="1"/>
      <c r="K625" s="1"/>
      <c r="L625" s="1"/>
      <c r="M625" s="1"/>
      <c r="N625" s="1"/>
      <c r="O625"/>
      <c r="Q625"/>
      <c r="R625"/>
      <c r="S625"/>
      <c r="T625"/>
      <c r="U625"/>
      <c r="V625"/>
    </row>
    <row r="626" spans="2:22" x14ac:dyDescent="0.3">
      <c r="B626"/>
      <c r="C626" s="1"/>
      <c r="D626" s="1"/>
      <c r="E626" s="2"/>
      <c r="F626" s="1"/>
      <c r="G626" s="5"/>
      <c r="H626" s="5"/>
      <c r="I626" s="1"/>
      <c r="J626" s="1"/>
      <c r="K626" s="1"/>
      <c r="L626" s="1"/>
      <c r="M626" s="1"/>
      <c r="N626" s="1"/>
      <c r="O626"/>
      <c r="Q626"/>
      <c r="R626"/>
      <c r="S626"/>
      <c r="T626"/>
      <c r="U626"/>
      <c r="V626"/>
    </row>
    <row r="627" spans="2:22" x14ac:dyDescent="0.3">
      <c r="B627"/>
      <c r="C627" s="1"/>
      <c r="D627" s="1"/>
      <c r="E627" s="2"/>
      <c r="F627" s="1"/>
      <c r="G627" s="5"/>
      <c r="H627" s="5"/>
      <c r="I627" s="1"/>
      <c r="J627" s="1"/>
      <c r="K627" s="1"/>
      <c r="L627" s="1"/>
      <c r="M627" s="1"/>
      <c r="N627" s="1"/>
      <c r="O627"/>
      <c r="Q627"/>
      <c r="R627"/>
      <c r="S627"/>
      <c r="T627"/>
      <c r="U627"/>
      <c r="V627"/>
    </row>
    <row r="628" spans="2:22" x14ac:dyDescent="0.3">
      <c r="B628"/>
      <c r="C628" s="1"/>
      <c r="D628" s="1"/>
      <c r="E628" s="2"/>
      <c r="F628" s="1"/>
      <c r="G628" s="5"/>
      <c r="H628" s="5"/>
      <c r="I628" s="1"/>
      <c r="J628" s="1"/>
      <c r="K628" s="1"/>
      <c r="L628" s="1"/>
      <c r="M628" s="1"/>
      <c r="N628" s="1"/>
      <c r="O628"/>
      <c r="Q628"/>
      <c r="R628"/>
      <c r="S628"/>
      <c r="T628"/>
      <c r="U628"/>
      <c r="V628"/>
    </row>
    <row r="629" spans="2:22" x14ac:dyDescent="0.3">
      <c r="B629"/>
      <c r="C629" s="1"/>
      <c r="D629" s="1"/>
      <c r="E629" s="2"/>
      <c r="F629" s="1"/>
      <c r="G629" s="5"/>
      <c r="H629" s="5"/>
      <c r="I629" s="1"/>
      <c r="J629" s="1"/>
      <c r="K629" s="1"/>
      <c r="L629" s="1"/>
      <c r="M629" s="1"/>
      <c r="N629" s="1"/>
      <c r="O629"/>
      <c r="Q629"/>
      <c r="R629"/>
      <c r="S629"/>
      <c r="T629"/>
      <c r="U629"/>
      <c r="V629"/>
    </row>
    <row r="630" spans="2:22" x14ac:dyDescent="0.3">
      <c r="B630"/>
      <c r="C630" s="1"/>
      <c r="D630" s="1"/>
      <c r="E630" s="2"/>
      <c r="F630" s="1"/>
      <c r="G630" s="5"/>
      <c r="H630" s="5"/>
      <c r="I630" s="1"/>
      <c r="J630" s="1"/>
      <c r="K630" s="1"/>
      <c r="L630" s="1"/>
      <c r="M630" s="1"/>
      <c r="N630" s="1"/>
      <c r="O630"/>
      <c r="Q630"/>
      <c r="R630"/>
      <c r="S630"/>
      <c r="T630"/>
      <c r="U630"/>
      <c r="V630"/>
    </row>
    <row r="631" spans="2:22" x14ac:dyDescent="0.3">
      <c r="B631"/>
      <c r="C631" s="1"/>
      <c r="D631" s="1"/>
      <c r="E631" s="2"/>
      <c r="F631" s="1"/>
      <c r="G631" s="5"/>
      <c r="H631" s="5"/>
      <c r="I631" s="1"/>
      <c r="J631" s="1"/>
      <c r="K631" s="1"/>
      <c r="L631" s="1"/>
      <c r="M631" s="1"/>
      <c r="N631" s="1"/>
      <c r="O631"/>
      <c r="Q631"/>
      <c r="R631"/>
      <c r="S631"/>
      <c r="T631"/>
      <c r="U631"/>
      <c r="V631"/>
    </row>
    <row r="632" spans="2:22" x14ac:dyDescent="0.3">
      <c r="B632"/>
      <c r="C632" s="1"/>
      <c r="D632" s="1"/>
      <c r="E632" s="2"/>
      <c r="F632" s="1"/>
      <c r="G632" s="5"/>
      <c r="H632" s="5"/>
      <c r="I632" s="1"/>
      <c r="J632" s="1"/>
      <c r="K632" s="1"/>
      <c r="L632" s="1"/>
      <c r="M632" s="1"/>
      <c r="N632" s="1"/>
      <c r="O632"/>
      <c r="Q632"/>
      <c r="R632"/>
      <c r="S632"/>
      <c r="T632"/>
      <c r="U632"/>
      <c r="V632"/>
    </row>
    <row r="633" spans="2:22" x14ac:dyDescent="0.3">
      <c r="B633"/>
      <c r="C633" s="1"/>
      <c r="D633" s="1"/>
      <c r="E633" s="2"/>
      <c r="F633" s="1"/>
      <c r="G633" s="5"/>
      <c r="H633" s="5"/>
      <c r="I633" s="1"/>
      <c r="J633" s="1"/>
      <c r="K633" s="1"/>
      <c r="L633" s="1"/>
      <c r="M633" s="1"/>
      <c r="N633" s="1"/>
      <c r="O633"/>
      <c r="Q633"/>
      <c r="R633"/>
      <c r="S633"/>
      <c r="T633"/>
      <c r="U633"/>
      <c r="V633"/>
    </row>
    <row r="634" spans="2:22" x14ac:dyDescent="0.3">
      <c r="B634"/>
      <c r="C634" s="1"/>
      <c r="D634" s="1"/>
      <c r="E634" s="2"/>
      <c r="F634" s="1"/>
      <c r="G634" s="5"/>
      <c r="H634" s="5"/>
      <c r="I634" s="1"/>
      <c r="J634" s="1"/>
      <c r="K634" s="1"/>
      <c r="L634" s="1"/>
      <c r="M634" s="1"/>
      <c r="N634" s="1"/>
      <c r="O634"/>
      <c r="Q634"/>
      <c r="R634"/>
      <c r="S634"/>
      <c r="T634"/>
      <c r="U634"/>
      <c r="V634"/>
    </row>
    <row r="635" spans="2:22" x14ac:dyDescent="0.3">
      <c r="B635"/>
      <c r="C635" s="1"/>
      <c r="D635" s="1"/>
      <c r="E635" s="2"/>
      <c r="F635" s="1"/>
      <c r="G635" s="5"/>
      <c r="H635" s="5"/>
      <c r="I635" s="1"/>
      <c r="J635" s="1"/>
      <c r="K635" s="1"/>
      <c r="L635" s="1"/>
      <c r="M635" s="1"/>
      <c r="N635" s="1"/>
      <c r="O635"/>
      <c r="Q635"/>
      <c r="R635"/>
      <c r="S635"/>
      <c r="T635"/>
      <c r="U635"/>
      <c r="V635"/>
    </row>
    <row r="636" spans="2:22" x14ac:dyDescent="0.3">
      <c r="B636"/>
      <c r="C636" s="1"/>
      <c r="D636" s="1"/>
      <c r="E636" s="2"/>
      <c r="F636" s="1"/>
      <c r="G636" s="5"/>
      <c r="H636" s="5"/>
      <c r="I636" s="1"/>
      <c r="J636" s="1"/>
      <c r="K636" s="1"/>
      <c r="L636" s="1"/>
      <c r="M636" s="1"/>
      <c r="N636" s="1"/>
      <c r="O636"/>
      <c r="Q636"/>
      <c r="R636"/>
      <c r="S636"/>
      <c r="T636"/>
      <c r="U636"/>
      <c r="V636"/>
    </row>
    <row r="637" spans="2:22" x14ac:dyDescent="0.3">
      <c r="B637"/>
      <c r="C637" s="1"/>
      <c r="D637" s="1"/>
      <c r="E637" s="2"/>
      <c r="F637" s="1"/>
      <c r="G637" s="5"/>
      <c r="H637" s="5"/>
      <c r="I637" s="1"/>
      <c r="J637" s="1"/>
      <c r="K637" s="1"/>
      <c r="L637" s="1"/>
      <c r="M637" s="1"/>
      <c r="N637" s="1"/>
      <c r="O637"/>
      <c r="Q637"/>
      <c r="R637"/>
      <c r="S637"/>
      <c r="T637"/>
      <c r="U637"/>
      <c r="V637"/>
    </row>
    <row r="638" spans="2:22" x14ac:dyDescent="0.3">
      <c r="B638"/>
      <c r="C638" s="1"/>
      <c r="D638" s="1"/>
      <c r="E638" s="2"/>
      <c r="F638" s="1"/>
      <c r="G638" s="5"/>
      <c r="H638" s="5"/>
      <c r="I638" s="1"/>
      <c r="J638" s="1"/>
      <c r="K638" s="1"/>
      <c r="L638" s="1"/>
      <c r="M638" s="1"/>
      <c r="N638" s="1"/>
      <c r="O638"/>
      <c r="Q638"/>
      <c r="R638"/>
      <c r="S638"/>
      <c r="T638"/>
      <c r="U638"/>
      <c r="V638"/>
    </row>
    <row r="639" spans="2:22" x14ac:dyDescent="0.3">
      <c r="B639"/>
      <c r="C639" s="1"/>
      <c r="D639" s="1"/>
      <c r="E639" s="2"/>
      <c r="F639" s="1"/>
      <c r="G639" s="5"/>
      <c r="H639" s="5"/>
      <c r="I639" s="1"/>
      <c r="J639" s="1"/>
      <c r="K639" s="1"/>
      <c r="L639" s="1"/>
      <c r="M639" s="1"/>
      <c r="N639" s="1"/>
      <c r="O639"/>
      <c r="Q639"/>
      <c r="R639"/>
      <c r="S639"/>
      <c r="T639"/>
      <c r="U639"/>
      <c r="V639"/>
    </row>
    <row r="640" spans="2:22" x14ac:dyDescent="0.3">
      <c r="B640"/>
      <c r="C640" s="1"/>
      <c r="D640" s="1"/>
      <c r="E640" s="2"/>
      <c r="F640" s="1"/>
      <c r="G640" s="5"/>
      <c r="H640" s="5"/>
      <c r="I640" s="1"/>
      <c r="J640" s="1"/>
      <c r="K640" s="1"/>
      <c r="L640" s="1"/>
      <c r="M640" s="1"/>
      <c r="N640" s="1"/>
      <c r="O640"/>
      <c r="Q640"/>
      <c r="R640"/>
      <c r="S640"/>
      <c r="T640"/>
      <c r="U640"/>
      <c r="V640"/>
    </row>
    <row r="641" spans="2:22" x14ac:dyDescent="0.3">
      <c r="B641"/>
      <c r="C641" s="1"/>
      <c r="D641" s="1"/>
      <c r="E641" s="2"/>
      <c r="F641" s="1"/>
      <c r="G641" s="5"/>
      <c r="H641" s="5"/>
      <c r="I641" s="1"/>
      <c r="J641" s="1"/>
      <c r="K641" s="1"/>
      <c r="L641" s="1"/>
      <c r="M641" s="1"/>
      <c r="N641" s="1"/>
      <c r="O641"/>
      <c r="Q641"/>
      <c r="R641"/>
      <c r="S641"/>
      <c r="T641"/>
      <c r="U641"/>
      <c r="V641"/>
    </row>
    <row r="642" spans="2:22" x14ac:dyDescent="0.3">
      <c r="B642"/>
      <c r="C642" s="1"/>
      <c r="D642" s="1"/>
      <c r="E642" s="2"/>
      <c r="F642" s="1"/>
      <c r="G642" s="5"/>
      <c r="H642" s="5"/>
      <c r="I642" s="1"/>
      <c r="J642" s="1"/>
      <c r="K642" s="1"/>
      <c r="L642" s="1"/>
      <c r="M642" s="1"/>
      <c r="N642" s="1"/>
      <c r="O642"/>
      <c r="Q642"/>
      <c r="R642"/>
      <c r="S642"/>
      <c r="T642"/>
      <c r="U642"/>
      <c r="V642"/>
    </row>
    <row r="643" spans="2:22" x14ac:dyDescent="0.3">
      <c r="B643"/>
      <c r="C643" s="1"/>
      <c r="D643" s="1"/>
      <c r="E643" s="2"/>
      <c r="F643" s="1"/>
      <c r="G643" s="5"/>
      <c r="H643" s="5"/>
      <c r="I643" s="1"/>
      <c r="J643" s="1"/>
      <c r="K643" s="1"/>
      <c r="L643" s="1"/>
      <c r="M643" s="1"/>
      <c r="N643" s="1"/>
      <c r="O643"/>
      <c r="Q643"/>
      <c r="R643"/>
      <c r="S643"/>
      <c r="T643"/>
      <c r="U643"/>
      <c r="V643"/>
    </row>
    <row r="644" spans="2:22" x14ac:dyDescent="0.3">
      <c r="B644"/>
      <c r="C644" s="1"/>
      <c r="D644" s="1"/>
      <c r="E644" s="2"/>
      <c r="F644" s="1"/>
      <c r="G644" s="5"/>
      <c r="H644" s="5"/>
      <c r="I644" s="1"/>
      <c r="J644" s="1"/>
      <c r="K644" s="1"/>
      <c r="L644" s="1"/>
      <c r="M644" s="1"/>
      <c r="N644" s="1"/>
      <c r="O644"/>
      <c r="Q644"/>
      <c r="R644"/>
      <c r="S644"/>
      <c r="T644"/>
      <c r="U644"/>
      <c r="V644"/>
    </row>
    <row r="645" spans="2:22" x14ac:dyDescent="0.3">
      <c r="B645"/>
      <c r="C645" s="1"/>
      <c r="D645" s="1"/>
      <c r="E645" s="2"/>
      <c r="F645" s="1"/>
      <c r="G645" s="5"/>
      <c r="H645" s="5"/>
      <c r="I645" s="1"/>
      <c r="J645" s="1"/>
      <c r="K645" s="1"/>
      <c r="L645" s="1"/>
      <c r="M645" s="1"/>
      <c r="N645" s="1"/>
      <c r="O645"/>
      <c r="Q645"/>
      <c r="R645"/>
      <c r="S645"/>
      <c r="T645"/>
      <c r="U645"/>
      <c r="V645"/>
    </row>
    <row r="646" spans="2:22" x14ac:dyDescent="0.3">
      <c r="B646"/>
      <c r="C646" s="1"/>
      <c r="D646" s="1"/>
      <c r="E646" s="2"/>
      <c r="F646" s="1"/>
      <c r="G646" s="5"/>
      <c r="H646" s="5"/>
      <c r="I646" s="1"/>
      <c r="J646" s="1"/>
      <c r="K646" s="1"/>
      <c r="L646" s="1"/>
      <c r="M646" s="1"/>
      <c r="N646" s="1"/>
      <c r="O646"/>
      <c r="Q646"/>
      <c r="R646"/>
      <c r="S646"/>
      <c r="T646"/>
      <c r="U646"/>
      <c r="V646"/>
    </row>
    <row r="647" spans="2:22" x14ac:dyDescent="0.3">
      <c r="B647"/>
      <c r="C647" s="1"/>
      <c r="D647" s="1"/>
      <c r="E647" s="2"/>
      <c r="F647" s="1"/>
      <c r="G647" s="5"/>
      <c r="H647" s="5"/>
      <c r="I647" s="1"/>
      <c r="J647" s="1"/>
      <c r="K647" s="1"/>
      <c r="L647" s="1"/>
      <c r="M647" s="1"/>
      <c r="N647" s="1"/>
      <c r="O647"/>
      <c r="Q647"/>
      <c r="R647"/>
      <c r="S647"/>
      <c r="T647"/>
      <c r="U647"/>
      <c r="V647"/>
    </row>
    <row r="648" spans="2:22" x14ac:dyDescent="0.3">
      <c r="B648"/>
      <c r="C648" s="1"/>
      <c r="D648" s="1"/>
      <c r="E648" s="2"/>
      <c r="F648" s="1"/>
      <c r="G648" s="5"/>
      <c r="H648" s="5"/>
      <c r="I648" s="1"/>
      <c r="J648" s="1"/>
      <c r="K648" s="1"/>
      <c r="L648" s="1"/>
      <c r="M648" s="1"/>
      <c r="N648" s="1"/>
      <c r="O648"/>
      <c r="Q648"/>
      <c r="R648"/>
      <c r="S648"/>
      <c r="T648"/>
      <c r="U648"/>
      <c r="V648"/>
    </row>
    <row r="649" spans="2:22" x14ac:dyDescent="0.3">
      <c r="B649"/>
      <c r="C649" s="1"/>
      <c r="D649" s="1"/>
      <c r="E649" s="2"/>
      <c r="F649" s="1"/>
      <c r="G649" s="5"/>
      <c r="H649" s="5"/>
      <c r="I649" s="1"/>
      <c r="J649" s="1"/>
      <c r="K649" s="1"/>
      <c r="L649" s="1"/>
      <c r="M649" s="1"/>
      <c r="N649" s="1"/>
      <c r="O649"/>
      <c r="Q649"/>
      <c r="R649"/>
      <c r="S649"/>
      <c r="T649"/>
      <c r="U649"/>
      <c r="V649"/>
    </row>
    <row r="650" spans="2:22" x14ac:dyDescent="0.3">
      <c r="B650"/>
      <c r="C650" s="1"/>
      <c r="D650" s="1"/>
      <c r="E650" s="2"/>
      <c r="F650" s="1"/>
      <c r="G650" s="5"/>
      <c r="H650" s="5"/>
      <c r="I650" s="1"/>
      <c r="J650" s="1"/>
      <c r="K650" s="1"/>
      <c r="L650" s="1"/>
      <c r="M650" s="1"/>
      <c r="N650" s="1"/>
      <c r="O650"/>
      <c r="Q650"/>
      <c r="R650"/>
      <c r="S650"/>
      <c r="T650"/>
      <c r="U650"/>
      <c r="V650"/>
    </row>
    <row r="651" spans="2:22" x14ac:dyDescent="0.3">
      <c r="B651"/>
      <c r="C651" s="1"/>
      <c r="D651" s="1"/>
      <c r="E651" s="2"/>
      <c r="F651" s="1"/>
      <c r="G651" s="5"/>
      <c r="H651" s="5"/>
      <c r="I651" s="1"/>
      <c r="J651" s="1"/>
      <c r="K651" s="1"/>
      <c r="L651" s="1"/>
      <c r="M651" s="1"/>
      <c r="N651" s="1"/>
      <c r="O651"/>
      <c r="Q651"/>
      <c r="R651"/>
      <c r="S651"/>
      <c r="T651"/>
      <c r="U651"/>
      <c r="V651"/>
    </row>
    <row r="652" spans="2:22" x14ac:dyDescent="0.3">
      <c r="B652"/>
      <c r="C652" s="1"/>
      <c r="D652" s="1"/>
      <c r="E652" s="2"/>
      <c r="F652" s="1"/>
      <c r="G652" s="5"/>
      <c r="H652" s="5"/>
      <c r="I652" s="1"/>
      <c r="J652" s="1"/>
      <c r="K652" s="1"/>
      <c r="L652" s="1"/>
      <c r="M652" s="1"/>
      <c r="N652" s="1"/>
      <c r="O652"/>
      <c r="Q652"/>
      <c r="R652"/>
      <c r="S652"/>
      <c r="T652"/>
      <c r="U652"/>
      <c r="V652"/>
    </row>
    <row r="653" spans="2:22" x14ac:dyDescent="0.3">
      <c r="B653"/>
      <c r="C653" s="1"/>
      <c r="D653" s="1"/>
      <c r="E653" s="2"/>
      <c r="F653" s="1"/>
      <c r="G653" s="5"/>
      <c r="H653" s="5"/>
      <c r="I653" s="1"/>
      <c r="J653" s="1"/>
      <c r="K653" s="1"/>
      <c r="L653" s="1"/>
      <c r="M653" s="1"/>
      <c r="N653" s="1"/>
      <c r="O653"/>
      <c r="Q653"/>
      <c r="R653"/>
      <c r="S653"/>
      <c r="T653"/>
      <c r="U653"/>
      <c r="V653"/>
    </row>
    <row r="654" spans="2:22" x14ac:dyDescent="0.3">
      <c r="B654"/>
      <c r="C654" s="1"/>
      <c r="D654" s="1"/>
      <c r="E654" s="2"/>
      <c r="F654" s="1"/>
      <c r="G654" s="5"/>
      <c r="H654" s="5"/>
      <c r="I654" s="1"/>
      <c r="J654" s="1"/>
      <c r="K654" s="1"/>
      <c r="L654" s="1"/>
      <c r="M654" s="1"/>
      <c r="N654" s="1"/>
      <c r="O654"/>
      <c r="Q654"/>
      <c r="R654"/>
      <c r="S654"/>
      <c r="T654"/>
      <c r="U654"/>
      <c r="V654"/>
    </row>
    <row r="655" spans="2:22" x14ac:dyDescent="0.3">
      <c r="B655"/>
      <c r="C655" s="1"/>
      <c r="D655" s="1"/>
      <c r="E655" s="2"/>
      <c r="F655" s="1"/>
      <c r="G655" s="5"/>
      <c r="H655" s="5"/>
      <c r="I655" s="1"/>
      <c r="J655" s="1"/>
      <c r="K655" s="1"/>
      <c r="L655" s="1"/>
      <c r="M655" s="1"/>
      <c r="N655" s="1"/>
      <c r="O655"/>
      <c r="Q655"/>
      <c r="R655"/>
      <c r="S655"/>
      <c r="T655"/>
      <c r="U655"/>
      <c r="V655"/>
    </row>
    <row r="656" spans="2:22" x14ac:dyDescent="0.3">
      <c r="B656"/>
      <c r="C656" s="1"/>
      <c r="D656" s="1"/>
      <c r="E656" s="2"/>
      <c r="F656" s="1"/>
      <c r="G656" s="5"/>
      <c r="H656" s="5"/>
      <c r="I656" s="1"/>
      <c r="J656" s="1"/>
      <c r="K656" s="1"/>
      <c r="L656" s="1"/>
      <c r="M656" s="1"/>
      <c r="N656" s="1"/>
      <c r="O656"/>
      <c r="Q656"/>
      <c r="R656"/>
      <c r="S656"/>
      <c r="T656"/>
      <c r="U656"/>
      <c r="V656"/>
    </row>
    <row r="657" spans="2:22" x14ac:dyDescent="0.3">
      <c r="B657"/>
      <c r="C657" s="1"/>
      <c r="D657" s="1"/>
      <c r="E657" s="2"/>
      <c r="F657" s="1"/>
      <c r="G657" s="5"/>
      <c r="H657" s="5"/>
      <c r="I657" s="1"/>
      <c r="J657" s="1"/>
      <c r="K657" s="1"/>
      <c r="L657" s="1"/>
      <c r="M657" s="1"/>
      <c r="N657" s="1"/>
      <c r="O657"/>
      <c r="Q657"/>
      <c r="R657"/>
      <c r="S657"/>
      <c r="T657"/>
      <c r="U657"/>
      <c r="V657"/>
    </row>
    <row r="658" spans="2:22" x14ac:dyDescent="0.3">
      <c r="B658"/>
      <c r="C658" s="1"/>
      <c r="D658" s="1"/>
      <c r="E658" s="2"/>
      <c r="F658" s="1"/>
      <c r="G658" s="5"/>
      <c r="H658" s="5"/>
      <c r="I658" s="1"/>
      <c r="J658" s="1"/>
      <c r="K658" s="1"/>
      <c r="L658" s="1"/>
      <c r="M658" s="1"/>
      <c r="N658" s="1"/>
      <c r="O658"/>
      <c r="Q658"/>
      <c r="R658"/>
      <c r="S658"/>
      <c r="T658"/>
      <c r="U658"/>
      <c r="V658"/>
    </row>
    <row r="659" spans="2:22" x14ac:dyDescent="0.3">
      <c r="B659"/>
      <c r="C659" s="1"/>
      <c r="D659" s="1"/>
      <c r="E659" s="2"/>
      <c r="F659" s="1"/>
      <c r="G659" s="5"/>
      <c r="H659" s="5"/>
      <c r="I659" s="1"/>
      <c r="J659" s="1"/>
      <c r="K659" s="1"/>
      <c r="L659" s="1"/>
      <c r="M659" s="1"/>
      <c r="N659" s="1"/>
      <c r="O659"/>
      <c r="Q659"/>
      <c r="R659"/>
      <c r="S659"/>
      <c r="T659"/>
      <c r="U659"/>
      <c r="V659"/>
    </row>
    <row r="660" spans="2:22" x14ac:dyDescent="0.3">
      <c r="B660"/>
      <c r="C660" s="1"/>
      <c r="D660" s="1"/>
      <c r="E660" s="2"/>
      <c r="F660" s="1"/>
      <c r="G660" s="5"/>
      <c r="H660" s="5"/>
      <c r="I660" s="1"/>
      <c r="J660" s="1"/>
      <c r="K660" s="1"/>
      <c r="L660" s="1"/>
      <c r="M660" s="1"/>
      <c r="N660" s="1"/>
      <c r="O660"/>
      <c r="Q660"/>
      <c r="R660"/>
      <c r="S660"/>
      <c r="T660"/>
      <c r="U660"/>
      <c r="V660"/>
    </row>
    <row r="661" spans="2:22" x14ac:dyDescent="0.3">
      <c r="B661"/>
      <c r="C661" s="1"/>
      <c r="D661" s="1"/>
      <c r="E661" s="2"/>
      <c r="F661" s="1"/>
      <c r="G661" s="5"/>
      <c r="H661" s="5"/>
      <c r="I661" s="1"/>
      <c r="J661" s="1"/>
      <c r="K661" s="1"/>
      <c r="L661" s="1"/>
      <c r="M661" s="1"/>
      <c r="N661" s="1"/>
      <c r="O661"/>
      <c r="Q661"/>
      <c r="R661"/>
      <c r="S661"/>
      <c r="T661"/>
      <c r="U661"/>
      <c r="V661"/>
    </row>
    <row r="662" spans="2:22" x14ac:dyDescent="0.3">
      <c r="B662"/>
      <c r="C662" s="1"/>
      <c r="D662" s="1"/>
      <c r="E662" s="2"/>
      <c r="F662" s="1"/>
      <c r="G662" s="5"/>
      <c r="H662" s="5"/>
      <c r="I662" s="1"/>
      <c r="J662" s="1"/>
      <c r="K662" s="1"/>
      <c r="L662" s="1"/>
      <c r="M662" s="1"/>
      <c r="N662" s="1"/>
      <c r="O662"/>
      <c r="Q662"/>
      <c r="R662"/>
      <c r="S662"/>
      <c r="T662"/>
      <c r="U662"/>
      <c r="V662"/>
    </row>
    <row r="663" spans="2:22" x14ac:dyDescent="0.3">
      <c r="B663"/>
      <c r="C663" s="1"/>
      <c r="D663" s="1"/>
      <c r="E663" s="2"/>
      <c r="F663" s="1"/>
      <c r="G663" s="5"/>
      <c r="H663" s="5"/>
      <c r="I663" s="1"/>
      <c r="J663" s="1"/>
      <c r="K663" s="1"/>
      <c r="L663" s="1"/>
      <c r="M663" s="1"/>
      <c r="N663" s="1"/>
      <c r="O663"/>
      <c r="Q663"/>
      <c r="R663"/>
      <c r="S663"/>
      <c r="T663"/>
      <c r="U663"/>
      <c r="V663"/>
    </row>
    <row r="664" spans="2:22" x14ac:dyDescent="0.3">
      <c r="B664"/>
      <c r="C664" s="1"/>
      <c r="D664" s="1"/>
      <c r="E664" s="2"/>
      <c r="F664" s="1"/>
      <c r="G664" s="5"/>
      <c r="H664" s="5"/>
      <c r="I664" s="1"/>
      <c r="J664" s="1"/>
      <c r="K664" s="1"/>
      <c r="L664" s="1"/>
      <c r="M664" s="1"/>
      <c r="N664" s="1"/>
      <c r="O664"/>
      <c r="Q664"/>
      <c r="R664"/>
      <c r="S664"/>
      <c r="T664"/>
      <c r="U664"/>
      <c r="V664"/>
    </row>
    <row r="665" spans="2:22" x14ac:dyDescent="0.3">
      <c r="B665"/>
      <c r="C665" s="1"/>
      <c r="D665" s="1"/>
      <c r="E665" s="2"/>
      <c r="F665" s="1"/>
      <c r="G665" s="5"/>
      <c r="H665" s="5"/>
      <c r="I665" s="1"/>
      <c r="J665" s="1"/>
      <c r="K665" s="1"/>
      <c r="L665" s="1"/>
      <c r="M665" s="1"/>
      <c r="N665" s="1"/>
      <c r="O665"/>
      <c r="Q665"/>
      <c r="R665"/>
      <c r="S665"/>
      <c r="T665"/>
      <c r="U665"/>
      <c r="V665"/>
    </row>
    <row r="666" spans="2:22" x14ac:dyDescent="0.3">
      <c r="B666"/>
      <c r="C666" s="1"/>
      <c r="D666" s="1"/>
      <c r="E666" s="2"/>
      <c r="F666" s="1"/>
      <c r="G666" s="5"/>
      <c r="H666" s="5"/>
      <c r="I666" s="1"/>
      <c r="J666" s="1"/>
      <c r="K666" s="1"/>
      <c r="L666" s="1"/>
      <c r="M666" s="1"/>
      <c r="N666" s="1"/>
      <c r="O666"/>
      <c r="Q666"/>
      <c r="R666"/>
      <c r="S666"/>
      <c r="T666"/>
      <c r="U666"/>
      <c r="V666"/>
    </row>
    <row r="667" spans="2:22" x14ac:dyDescent="0.3">
      <c r="B667"/>
      <c r="C667" s="1"/>
      <c r="D667" s="1"/>
      <c r="E667" s="2"/>
      <c r="F667" s="1"/>
      <c r="G667" s="5"/>
      <c r="H667" s="5"/>
      <c r="I667" s="1"/>
      <c r="J667" s="1"/>
      <c r="K667" s="1"/>
      <c r="L667" s="1"/>
      <c r="M667" s="1"/>
      <c r="N667" s="1"/>
      <c r="O667"/>
      <c r="Q667"/>
      <c r="R667"/>
      <c r="S667"/>
      <c r="T667"/>
      <c r="U667"/>
      <c r="V667"/>
    </row>
    <row r="668" spans="2:22" x14ac:dyDescent="0.3">
      <c r="B668"/>
      <c r="C668" s="1"/>
      <c r="D668" s="1"/>
      <c r="E668" s="2"/>
      <c r="F668" s="1"/>
      <c r="G668" s="5"/>
      <c r="H668" s="5"/>
      <c r="I668" s="1"/>
      <c r="J668" s="1"/>
      <c r="K668" s="1"/>
      <c r="L668" s="1"/>
      <c r="M668" s="1"/>
      <c r="N668" s="1"/>
      <c r="O668"/>
      <c r="Q668"/>
      <c r="R668"/>
      <c r="S668"/>
      <c r="T668"/>
      <c r="U668"/>
      <c r="V668"/>
    </row>
    <row r="669" spans="2:22" x14ac:dyDescent="0.3">
      <c r="B669"/>
      <c r="C669" s="1"/>
      <c r="D669" s="1"/>
      <c r="E669" s="2"/>
      <c r="F669" s="1"/>
      <c r="G669" s="5"/>
      <c r="H669" s="5"/>
      <c r="I669" s="1"/>
      <c r="J669" s="1"/>
      <c r="K669" s="1"/>
      <c r="L669" s="1"/>
      <c r="M669" s="1"/>
      <c r="N669" s="1"/>
      <c r="O669"/>
      <c r="Q669"/>
      <c r="R669"/>
      <c r="S669"/>
      <c r="T669"/>
      <c r="U669"/>
      <c r="V669"/>
    </row>
    <row r="670" spans="2:22" x14ac:dyDescent="0.3">
      <c r="B670"/>
      <c r="C670" s="1"/>
      <c r="D670" s="1"/>
      <c r="E670" s="2"/>
      <c r="F670" s="1"/>
      <c r="G670" s="5"/>
      <c r="H670" s="5"/>
      <c r="I670" s="1"/>
      <c r="J670" s="1"/>
      <c r="K670" s="1"/>
      <c r="L670" s="1"/>
      <c r="M670" s="1"/>
      <c r="N670" s="1"/>
      <c r="O670"/>
      <c r="Q670"/>
      <c r="R670"/>
      <c r="S670"/>
      <c r="T670"/>
      <c r="U670"/>
      <c r="V670"/>
    </row>
    <row r="671" spans="2:22" x14ac:dyDescent="0.3">
      <c r="B671"/>
      <c r="C671" s="1"/>
      <c r="D671" s="1"/>
      <c r="E671" s="2"/>
      <c r="F671" s="1"/>
      <c r="G671" s="5"/>
      <c r="H671" s="5"/>
      <c r="I671" s="1"/>
      <c r="J671" s="1"/>
      <c r="K671" s="1"/>
      <c r="L671" s="1"/>
      <c r="M671" s="1"/>
      <c r="N671" s="1"/>
      <c r="O671"/>
      <c r="Q671"/>
      <c r="R671"/>
      <c r="S671"/>
      <c r="T671"/>
      <c r="U671"/>
      <c r="V671"/>
    </row>
    <row r="672" spans="2:22" x14ac:dyDescent="0.3">
      <c r="B672"/>
      <c r="C672" s="1"/>
      <c r="D672" s="1"/>
      <c r="E672" s="2"/>
      <c r="F672" s="1"/>
      <c r="G672" s="5"/>
      <c r="H672" s="5"/>
      <c r="I672" s="1"/>
      <c r="J672" s="1"/>
      <c r="K672" s="1"/>
      <c r="L672" s="1"/>
      <c r="M672" s="1"/>
      <c r="N672" s="1"/>
      <c r="O672"/>
      <c r="Q672"/>
      <c r="R672"/>
      <c r="S672"/>
      <c r="T672"/>
      <c r="U672"/>
      <c r="V672"/>
    </row>
    <row r="673" spans="2:22" x14ac:dyDescent="0.3">
      <c r="B673"/>
      <c r="C673" s="1"/>
      <c r="D673" s="1"/>
      <c r="E673" s="2"/>
      <c r="F673" s="1"/>
      <c r="G673" s="5"/>
      <c r="H673" s="5"/>
      <c r="I673" s="1"/>
      <c r="J673" s="1"/>
      <c r="K673" s="1"/>
      <c r="L673" s="1"/>
      <c r="M673" s="1"/>
      <c r="N673" s="1"/>
      <c r="O673"/>
      <c r="Q673"/>
      <c r="R673"/>
      <c r="S673"/>
      <c r="T673"/>
      <c r="U673"/>
      <c r="V673"/>
    </row>
    <row r="674" spans="2:22" x14ac:dyDescent="0.3">
      <c r="B674"/>
      <c r="C674" s="1"/>
      <c r="D674" s="1"/>
      <c r="E674" s="2"/>
      <c r="F674" s="1"/>
      <c r="G674" s="5"/>
      <c r="H674" s="5"/>
      <c r="I674" s="1"/>
      <c r="J674" s="1"/>
      <c r="K674" s="1"/>
      <c r="L674" s="1"/>
      <c r="M674" s="1"/>
      <c r="N674" s="1"/>
      <c r="O674"/>
      <c r="Q674"/>
      <c r="R674"/>
      <c r="S674"/>
      <c r="T674"/>
      <c r="U674"/>
      <c r="V674"/>
    </row>
    <row r="675" spans="2:22" x14ac:dyDescent="0.3">
      <c r="B675"/>
      <c r="C675" s="1"/>
      <c r="D675" s="1"/>
      <c r="E675" s="2"/>
      <c r="F675" s="1"/>
      <c r="G675" s="5"/>
      <c r="H675" s="5"/>
      <c r="I675" s="1"/>
      <c r="J675" s="1"/>
      <c r="K675" s="1"/>
      <c r="L675" s="1"/>
      <c r="M675" s="1"/>
      <c r="N675" s="1"/>
      <c r="O675"/>
      <c r="Q675"/>
      <c r="R675"/>
      <c r="S675"/>
      <c r="T675"/>
      <c r="U675"/>
      <c r="V675"/>
    </row>
    <row r="676" spans="2:22" x14ac:dyDescent="0.3">
      <c r="B676"/>
      <c r="C676" s="1"/>
      <c r="D676" s="1"/>
      <c r="E676" s="2"/>
      <c r="F676" s="1"/>
      <c r="G676" s="5"/>
      <c r="H676" s="5"/>
      <c r="I676" s="1"/>
      <c r="J676" s="1"/>
      <c r="K676" s="1"/>
      <c r="L676" s="1"/>
      <c r="M676" s="1"/>
      <c r="N676" s="1"/>
      <c r="O676"/>
      <c r="Q676"/>
      <c r="R676"/>
      <c r="S676"/>
      <c r="T676"/>
      <c r="U676"/>
      <c r="V676"/>
    </row>
    <row r="677" spans="2:22" x14ac:dyDescent="0.3">
      <c r="B677"/>
      <c r="C677" s="1"/>
      <c r="D677" s="1"/>
      <c r="E677" s="2"/>
      <c r="F677" s="1"/>
      <c r="G677" s="5"/>
      <c r="H677" s="5"/>
      <c r="I677" s="1"/>
      <c r="J677" s="1"/>
      <c r="K677" s="1"/>
      <c r="L677" s="1"/>
      <c r="M677" s="1"/>
      <c r="N677" s="1"/>
      <c r="O677"/>
      <c r="Q677"/>
      <c r="R677"/>
      <c r="S677"/>
      <c r="T677"/>
      <c r="U677"/>
      <c r="V677"/>
    </row>
    <row r="678" spans="2:22" x14ac:dyDescent="0.3">
      <c r="B678"/>
      <c r="C678" s="1"/>
      <c r="D678" s="1"/>
      <c r="E678" s="2"/>
      <c r="F678" s="1"/>
      <c r="G678" s="5"/>
      <c r="H678" s="5"/>
      <c r="I678" s="1"/>
      <c r="J678" s="1"/>
      <c r="K678" s="1"/>
      <c r="L678" s="1"/>
      <c r="M678" s="1"/>
      <c r="N678" s="1"/>
      <c r="O678"/>
      <c r="Q678"/>
      <c r="R678"/>
      <c r="S678"/>
      <c r="T678"/>
      <c r="U678"/>
      <c r="V678"/>
    </row>
    <row r="679" spans="2:22" x14ac:dyDescent="0.3">
      <c r="B679"/>
      <c r="C679" s="1"/>
      <c r="D679" s="1"/>
      <c r="E679" s="2"/>
      <c r="F679" s="1"/>
      <c r="G679" s="5"/>
      <c r="H679" s="5"/>
      <c r="I679" s="1"/>
      <c r="J679" s="1"/>
      <c r="K679" s="1"/>
      <c r="L679" s="1"/>
      <c r="M679" s="1"/>
      <c r="N679" s="1"/>
      <c r="O679"/>
      <c r="Q679"/>
      <c r="R679"/>
      <c r="S679"/>
      <c r="T679"/>
      <c r="U679"/>
      <c r="V679"/>
    </row>
    <row r="680" spans="2:22" x14ac:dyDescent="0.3">
      <c r="B680"/>
      <c r="C680" s="1"/>
      <c r="D680" s="1"/>
      <c r="E680" s="2"/>
      <c r="F680" s="1"/>
      <c r="G680" s="5"/>
      <c r="H680" s="5"/>
      <c r="I680" s="1"/>
      <c r="J680" s="1"/>
      <c r="K680" s="1"/>
      <c r="L680" s="1"/>
      <c r="M680" s="1"/>
      <c r="N680" s="1"/>
      <c r="O680"/>
      <c r="Q680"/>
      <c r="R680"/>
      <c r="S680"/>
      <c r="T680"/>
      <c r="U680"/>
      <c r="V680"/>
    </row>
    <row r="681" spans="2:22" x14ac:dyDescent="0.3">
      <c r="B681"/>
      <c r="C681" s="1"/>
      <c r="D681" s="1"/>
      <c r="E681" s="2"/>
      <c r="F681" s="1"/>
      <c r="G681" s="5"/>
      <c r="H681" s="5"/>
      <c r="I681" s="1"/>
      <c r="J681" s="1"/>
      <c r="K681" s="1"/>
      <c r="L681" s="1"/>
      <c r="M681" s="1"/>
      <c r="N681" s="1"/>
      <c r="O681"/>
      <c r="Q681"/>
      <c r="R681"/>
      <c r="S681"/>
      <c r="T681"/>
      <c r="U681"/>
      <c r="V681"/>
    </row>
    <row r="682" spans="2:22" x14ac:dyDescent="0.3">
      <c r="B682"/>
      <c r="C682" s="1"/>
      <c r="D682" s="1"/>
      <c r="E682" s="2"/>
      <c r="F682" s="1"/>
      <c r="G682" s="5"/>
      <c r="H682" s="5"/>
      <c r="I682" s="1"/>
      <c r="J682" s="1"/>
      <c r="K682" s="1"/>
      <c r="L682" s="1"/>
      <c r="M682" s="1"/>
      <c r="N682" s="1"/>
      <c r="O682"/>
      <c r="Q682"/>
      <c r="R682"/>
      <c r="S682"/>
      <c r="T682"/>
      <c r="U682"/>
      <c r="V682"/>
    </row>
    <row r="683" spans="2:22" x14ac:dyDescent="0.3">
      <c r="B683"/>
      <c r="C683" s="1"/>
      <c r="D683" s="1"/>
      <c r="E683" s="2"/>
      <c r="F683" s="1"/>
      <c r="G683" s="5"/>
      <c r="H683" s="5"/>
      <c r="I683" s="1"/>
      <c r="J683" s="1"/>
      <c r="K683" s="1"/>
      <c r="L683" s="1"/>
      <c r="M683" s="1"/>
      <c r="N683" s="1"/>
      <c r="O683"/>
      <c r="Q683"/>
      <c r="R683"/>
      <c r="S683"/>
      <c r="T683"/>
      <c r="U683"/>
      <c r="V683"/>
    </row>
    <row r="684" spans="2:22" x14ac:dyDescent="0.3">
      <c r="B684"/>
      <c r="C684" s="1"/>
      <c r="D684" s="1"/>
      <c r="E684" s="2"/>
      <c r="F684" s="1"/>
      <c r="G684" s="5"/>
      <c r="H684" s="5"/>
      <c r="I684" s="1"/>
      <c r="J684" s="1"/>
      <c r="K684" s="1"/>
      <c r="L684" s="1"/>
      <c r="M684" s="1"/>
      <c r="N684" s="1"/>
      <c r="O684"/>
      <c r="Q684"/>
      <c r="R684"/>
      <c r="S684"/>
      <c r="T684"/>
      <c r="U684"/>
      <c r="V684"/>
    </row>
    <row r="685" spans="2:22" x14ac:dyDescent="0.3">
      <c r="B685"/>
      <c r="C685" s="1"/>
      <c r="D685" s="1"/>
      <c r="E685" s="2"/>
      <c r="F685" s="1"/>
      <c r="G685" s="5"/>
      <c r="H685" s="5"/>
      <c r="I685" s="1"/>
      <c r="J685" s="1"/>
      <c r="K685" s="1"/>
      <c r="L685" s="1"/>
      <c r="M685" s="1"/>
      <c r="N685" s="1"/>
      <c r="O685"/>
      <c r="Q685"/>
      <c r="R685"/>
      <c r="S685"/>
      <c r="T685"/>
      <c r="U685"/>
      <c r="V685"/>
    </row>
    <row r="686" spans="2:22" x14ac:dyDescent="0.3">
      <c r="B686"/>
      <c r="C686" s="1"/>
      <c r="D686" s="1"/>
      <c r="E686" s="2"/>
      <c r="F686" s="1"/>
      <c r="G686" s="5"/>
      <c r="H686" s="5"/>
      <c r="I686" s="1"/>
      <c r="J686" s="1"/>
      <c r="K686" s="1"/>
      <c r="L686" s="1"/>
      <c r="M686" s="1"/>
      <c r="N686" s="1"/>
      <c r="O686"/>
      <c r="Q686"/>
      <c r="R686"/>
      <c r="S686"/>
      <c r="T686"/>
      <c r="U686"/>
      <c r="V686"/>
    </row>
    <row r="687" spans="2:22" x14ac:dyDescent="0.3">
      <c r="B687"/>
      <c r="C687" s="1"/>
      <c r="D687" s="1"/>
      <c r="E687" s="2"/>
      <c r="F687" s="1"/>
      <c r="G687" s="5"/>
      <c r="H687" s="5"/>
      <c r="I687" s="1"/>
      <c r="J687" s="1"/>
      <c r="K687" s="1"/>
      <c r="L687" s="1"/>
      <c r="M687" s="1"/>
      <c r="N687" s="1"/>
      <c r="O687"/>
      <c r="Q687"/>
      <c r="R687"/>
      <c r="S687"/>
      <c r="T687"/>
      <c r="U687"/>
      <c r="V687"/>
    </row>
    <row r="688" spans="2:22" x14ac:dyDescent="0.3">
      <c r="B688"/>
      <c r="C688" s="1"/>
      <c r="D688" s="1"/>
      <c r="E688" s="2"/>
      <c r="F688" s="1"/>
      <c r="G688" s="5"/>
      <c r="H688" s="5"/>
      <c r="I688" s="1"/>
      <c r="J688" s="1"/>
      <c r="K688" s="1"/>
      <c r="L688" s="1"/>
      <c r="M688" s="1"/>
      <c r="N688" s="1"/>
      <c r="O688"/>
      <c r="Q688"/>
      <c r="R688"/>
      <c r="S688"/>
      <c r="T688"/>
      <c r="U688"/>
      <c r="V688"/>
    </row>
    <row r="689" spans="2:22" x14ac:dyDescent="0.3">
      <c r="B689"/>
      <c r="C689" s="1"/>
      <c r="D689" s="1"/>
      <c r="E689" s="2"/>
      <c r="F689" s="1"/>
      <c r="G689" s="5"/>
      <c r="H689" s="5"/>
      <c r="I689" s="1"/>
      <c r="J689" s="1"/>
      <c r="K689" s="1"/>
      <c r="L689" s="1"/>
      <c r="M689" s="1"/>
      <c r="N689" s="1"/>
      <c r="O689"/>
      <c r="Q689"/>
      <c r="R689"/>
      <c r="S689"/>
      <c r="T689"/>
      <c r="U689"/>
      <c r="V689"/>
    </row>
    <row r="690" spans="2:22" x14ac:dyDescent="0.3">
      <c r="B690"/>
      <c r="C690" s="1"/>
      <c r="D690" s="1"/>
      <c r="E690" s="2"/>
      <c r="F690" s="1"/>
      <c r="G690" s="5"/>
      <c r="H690" s="5"/>
      <c r="I690" s="1"/>
      <c r="J690" s="1"/>
      <c r="K690" s="1"/>
      <c r="L690" s="1"/>
      <c r="M690" s="1"/>
      <c r="N690" s="1"/>
      <c r="O690"/>
      <c r="Q690"/>
      <c r="R690"/>
      <c r="S690"/>
      <c r="T690"/>
      <c r="U690"/>
      <c r="V690"/>
    </row>
    <row r="691" spans="2:22" x14ac:dyDescent="0.3">
      <c r="B691"/>
      <c r="C691" s="1"/>
      <c r="D691" s="1"/>
      <c r="E691" s="2"/>
      <c r="F691" s="1"/>
      <c r="G691" s="5"/>
      <c r="H691" s="5"/>
      <c r="I691" s="1"/>
      <c r="J691" s="1"/>
      <c r="K691" s="1"/>
      <c r="L691" s="1"/>
      <c r="M691" s="1"/>
      <c r="N691" s="1"/>
      <c r="O691"/>
      <c r="Q691"/>
      <c r="R691"/>
      <c r="S691"/>
      <c r="T691"/>
      <c r="U691"/>
      <c r="V691"/>
    </row>
    <row r="692" spans="2:22" x14ac:dyDescent="0.3">
      <c r="B692"/>
      <c r="C692" s="1"/>
      <c r="D692" s="1"/>
      <c r="E692" s="2"/>
      <c r="F692" s="1"/>
      <c r="G692" s="5"/>
      <c r="H692" s="5"/>
      <c r="I692" s="1"/>
      <c r="J692" s="1"/>
      <c r="K692" s="1"/>
      <c r="L692" s="1"/>
      <c r="M692" s="1"/>
      <c r="N692" s="1"/>
      <c r="O692"/>
      <c r="Q692"/>
      <c r="R692"/>
      <c r="S692"/>
      <c r="T692"/>
      <c r="U692"/>
      <c r="V692"/>
    </row>
    <row r="693" spans="2:22" x14ac:dyDescent="0.3">
      <c r="B693"/>
      <c r="C693" s="1"/>
      <c r="D693" s="1"/>
      <c r="E693" s="2"/>
      <c r="F693" s="1"/>
      <c r="G693" s="5"/>
      <c r="H693" s="5"/>
      <c r="I693" s="1"/>
      <c r="J693" s="1"/>
      <c r="K693" s="1"/>
      <c r="L693" s="1"/>
      <c r="M693" s="1"/>
      <c r="N693" s="1"/>
      <c r="O693"/>
      <c r="Q693"/>
      <c r="R693"/>
      <c r="S693"/>
      <c r="T693"/>
      <c r="U693"/>
      <c r="V693"/>
    </row>
    <row r="694" spans="2:22" x14ac:dyDescent="0.3">
      <c r="B694"/>
      <c r="C694" s="1"/>
      <c r="D694" s="1"/>
      <c r="E694" s="2"/>
      <c r="F694" s="1"/>
      <c r="G694" s="5"/>
      <c r="H694" s="5"/>
      <c r="I694" s="1"/>
      <c r="J694" s="1"/>
      <c r="K694" s="1"/>
      <c r="L694" s="1"/>
      <c r="M694" s="1"/>
      <c r="N694" s="1"/>
      <c r="O694"/>
      <c r="Q694"/>
      <c r="R694"/>
      <c r="S694"/>
      <c r="T694"/>
      <c r="U694"/>
      <c r="V694"/>
    </row>
    <row r="695" spans="2:22" x14ac:dyDescent="0.3">
      <c r="B695"/>
      <c r="C695" s="1"/>
      <c r="D695" s="1"/>
      <c r="E695" s="2"/>
      <c r="F695" s="1"/>
      <c r="G695" s="5"/>
      <c r="H695" s="5"/>
      <c r="I695" s="1"/>
      <c r="J695" s="1"/>
      <c r="K695" s="1"/>
      <c r="L695" s="1"/>
      <c r="M695" s="1"/>
      <c r="N695" s="1"/>
      <c r="O695"/>
      <c r="Q695"/>
      <c r="R695"/>
      <c r="S695"/>
      <c r="T695"/>
      <c r="U695"/>
      <c r="V695"/>
    </row>
    <row r="696" spans="2:22" x14ac:dyDescent="0.3">
      <c r="B696"/>
      <c r="C696" s="1"/>
      <c r="D696" s="1"/>
      <c r="E696" s="2"/>
      <c r="F696" s="1"/>
      <c r="G696" s="5"/>
      <c r="H696" s="5"/>
      <c r="I696" s="1"/>
      <c r="J696" s="1"/>
      <c r="K696" s="1"/>
      <c r="L696" s="1"/>
      <c r="M696" s="1"/>
      <c r="N696" s="1"/>
      <c r="O696"/>
      <c r="Q696"/>
      <c r="R696"/>
      <c r="S696"/>
      <c r="T696"/>
      <c r="U696"/>
      <c r="V696"/>
    </row>
    <row r="697" spans="2:22" x14ac:dyDescent="0.3">
      <c r="B697"/>
      <c r="C697" s="1"/>
      <c r="D697" s="1"/>
      <c r="E697" s="2"/>
      <c r="F697" s="1"/>
      <c r="G697" s="5"/>
      <c r="H697" s="5"/>
      <c r="I697" s="1"/>
      <c r="J697" s="1"/>
      <c r="K697" s="1"/>
      <c r="L697" s="1"/>
      <c r="M697" s="1"/>
      <c r="N697" s="1"/>
      <c r="O697"/>
      <c r="Q697"/>
      <c r="R697"/>
      <c r="S697"/>
      <c r="T697"/>
      <c r="U697"/>
      <c r="V697"/>
    </row>
    <row r="698" spans="2:22" x14ac:dyDescent="0.3">
      <c r="B698"/>
      <c r="C698" s="1"/>
      <c r="D698" s="1"/>
      <c r="E698" s="2"/>
      <c r="F698" s="1"/>
      <c r="G698" s="5"/>
      <c r="H698" s="5"/>
      <c r="I698" s="1"/>
      <c r="J698" s="1"/>
      <c r="K698" s="1"/>
      <c r="L698" s="1"/>
      <c r="M698" s="1"/>
      <c r="N698" s="1"/>
      <c r="O698"/>
      <c r="Q698"/>
      <c r="R698"/>
      <c r="S698"/>
      <c r="T698"/>
      <c r="U698"/>
      <c r="V698"/>
    </row>
    <row r="699" spans="2:22" x14ac:dyDescent="0.3">
      <c r="B699"/>
      <c r="C699" s="1"/>
      <c r="D699" s="1"/>
      <c r="E699" s="2"/>
      <c r="F699" s="1"/>
      <c r="G699" s="5"/>
      <c r="H699" s="5"/>
      <c r="I699" s="1"/>
      <c r="J699" s="1"/>
      <c r="K699" s="1"/>
      <c r="L699" s="1"/>
      <c r="M699" s="1"/>
      <c r="N699" s="1"/>
      <c r="O699"/>
      <c r="Q699"/>
      <c r="R699"/>
      <c r="S699"/>
      <c r="T699"/>
      <c r="U699"/>
      <c r="V699"/>
    </row>
    <row r="700" spans="2:22" x14ac:dyDescent="0.3">
      <c r="B700"/>
      <c r="C700" s="1"/>
      <c r="D700" s="1"/>
      <c r="E700" s="2"/>
      <c r="F700" s="1"/>
      <c r="G700" s="5"/>
      <c r="H700" s="5"/>
      <c r="I700" s="1"/>
      <c r="J700" s="1"/>
      <c r="K700" s="1"/>
      <c r="L700" s="1"/>
      <c r="M700" s="1"/>
      <c r="N700" s="1"/>
      <c r="O700"/>
      <c r="Q700"/>
      <c r="R700"/>
      <c r="S700"/>
      <c r="T700"/>
      <c r="U700"/>
      <c r="V700"/>
    </row>
    <row r="701" spans="2:22" x14ac:dyDescent="0.3">
      <c r="B701"/>
      <c r="C701" s="1"/>
      <c r="D701" s="1"/>
      <c r="E701" s="2"/>
      <c r="F701" s="1"/>
      <c r="G701" s="5"/>
      <c r="H701" s="5"/>
      <c r="I701" s="1"/>
      <c r="J701" s="1"/>
      <c r="K701" s="1"/>
      <c r="L701" s="1"/>
      <c r="M701" s="1"/>
      <c r="N701" s="1"/>
      <c r="O701"/>
      <c r="Q701"/>
      <c r="R701"/>
      <c r="S701"/>
      <c r="T701"/>
      <c r="U701"/>
      <c r="V701"/>
    </row>
    <row r="702" spans="2:22" x14ac:dyDescent="0.3">
      <c r="B702"/>
      <c r="C702" s="1"/>
      <c r="D702" s="1"/>
      <c r="E702" s="2"/>
      <c r="F702" s="1"/>
      <c r="G702" s="5"/>
      <c r="H702" s="5"/>
      <c r="I702" s="1"/>
      <c r="J702" s="1"/>
      <c r="K702" s="1"/>
      <c r="L702" s="1"/>
      <c r="M702" s="1"/>
      <c r="N702" s="1"/>
      <c r="O702"/>
      <c r="Q702"/>
      <c r="R702"/>
      <c r="S702"/>
      <c r="T702"/>
      <c r="U702"/>
      <c r="V702"/>
    </row>
    <row r="703" spans="2:22" x14ac:dyDescent="0.3">
      <c r="B703"/>
      <c r="C703" s="1"/>
      <c r="D703" s="1"/>
      <c r="E703" s="2"/>
      <c r="F703" s="1"/>
      <c r="G703" s="5"/>
      <c r="H703" s="5"/>
      <c r="I703" s="1"/>
      <c r="J703" s="1"/>
      <c r="K703" s="1"/>
      <c r="L703" s="1"/>
      <c r="M703" s="1"/>
      <c r="N703" s="1"/>
      <c r="O703"/>
      <c r="Q703"/>
      <c r="R703"/>
      <c r="S703"/>
      <c r="T703"/>
      <c r="U703"/>
      <c r="V703"/>
    </row>
    <row r="704" spans="2:22" x14ac:dyDescent="0.3">
      <c r="B704"/>
      <c r="C704" s="1"/>
      <c r="D704" s="1"/>
      <c r="E704" s="2"/>
      <c r="F704" s="1"/>
      <c r="G704" s="5"/>
      <c r="H704" s="5"/>
      <c r="I704" s="1"/>
      <c r="J704" s="1"/>
      <c r="K704" s="1"/>
      <c r="L704" s="1"/>
      <c r="M704" s="1"/>
      <c r="N704" s="1"/>
      <c r="O704"/>
      <c r="Q704"/>
      <c r="R704"/>
      <c r="S704"/>
      <c r="T704"/>
      <c r="U704"/>
      <c r="V704"/>
    </row>
    <row r="705" spans="2:22" x14ac:dyDescent="0.3">
      <c r="B705"/>
      <c r="C705" s="1"/>
      <c r="D705" s="1"/>
      <c r="E705" s="2"/>
      <c r="F705" s="1"/>
      <c r="G705" s="5"/>
      <c r="H705" s="5"/>
      <c r="I705" s="1"/>
      <c r="J705" s="1"/>
      <c r="K705" s="1"/>
      <c r="L705" s="1"/>
      <c r="M705" s="1"/>
      <c r="N705" s="1"/>
      <c r="O705"/>
      <c r="Q705"/>
      <c r="R705"/>
      <c r="S705"/>
      <c r="T705"/>
      <c r="U705"/>
      <c r="V705"/>
    </row>
    <row r="706" spans="2:22" x14ac:dyDescent="0.3">
      <c r="B706"/>
      <c r="C706" s="1"/>
      <c r="D706" s="1"/>
      <c r="E706" s="2"/>
      <c r="F706" s="1"/>
      <c r="G706" s="5"/>
      <c r="H706" s="5"/>
      <c r="I706" s="1"/>
      <c r="J706" s="1"/>
      <c r="K706" s="1"/>
      <c r="L706" s="1"/>
      <c r="M706" s="1"/>
      <c r="N706" s="1"/>
      <c r="O706"/>
      <c r="Q706"/>
      <c r="R706"/>
      <c r="S706"/>
      <c r="T706"/>
      <c r="U706"/>
      <c r="V706"/>
    </row>
    <row r="707" spans="2:22" x14ac:dyDescent="0.3">
      <c r="B707"/>
      <c r="C707" s="1"/>
      <c r="D707" s="1"/>
      <c r="E707" s="2"/>
      <c r="F707" s="1"/>
      <c r="G707" s="5"/>
      <c r="H707" s="5"/>
      <c r="I707" s="1"/>
      <c r="J707" s="1"/>
      <c r="K707" s="1"/>
      <c r="L707" s="1"/>
      <c r="M707" s="1"/>
      <c r="N707" s="1"/>
      <c r="O707"/>
      <c r="Q707"/>
      <c r="R707"/>
      <c r="S707"/>
      <c r="T707"/>
      <c r="U707"/>
      <c r="V707"/>
    </row>
    <row r="708" spans="2:22" x14ac:dyDescent="0.3">
      <c r="B708"/>
      <c r="C708" s="1"/>
      <c r="D708" s="1"/>
      <c r="E708" s="2"/>
      <c r="F708" s="1"/>
      <c r="G708" s="5"/>
      <c r="H708" s="5"/>
      <c r="I708" s="1"/>
      <c r="J708" s="1"/>
      <c r="K708" s="1"/>
      <c r="L708" s="1"/>
      <c r="M708" s="1"/>
      <c r="N708" s="1"/>
      <c r="O708"/>
      <c r="Q708"/>
      <c r="R708"/>
      <c r="S708"/>
      <c r="T708"/>
      <c r="U708"/>
      <c r="V708"/>
    </row>
    <row r="709" spans="2:22" x14ac:dyDescent="0.3">
      <c r="B709"/>
      <c r="C709" s="1"/>
      <c r="D709" s="1"/>
      <c r="E709" s="2"/>
      <c r="F709" s="1"/>
      <c r="G709" s="5"/>
      <c r="H709" s="5"/>
      <c r="I709" s="1"/>
      <c r="J709" s="1"/>
      <c r="K709" s="1"/>
      <c r="L709" s="1"/>
      <c r="M709" s="1"/>
      <c r="N709" s="1"/>
      <c r="O709"/>
      <c r="Q709"/>
      <c r="R709"/>
      <c r="S709"/>
      <c r="T709"/>
      <c r="U709"/>
      <c r="V709"/>
    </row>
    <row r="710" spans="2:22" x14ac:dyDescent="0.3">
      <c r="B710"/>
      <c r="C710" s="1"/>
      <c r="D710" s="1"/>
      <c r="E710" s="2"/>
      <c r="F710" s="1"/>
      <c r="G710" s="5"/>
      <c r="H710" s="5"/>
      <c r="I710" s="1"/>
      <c r="J710" s="1"/>
      <c r="K710" s="1"/>
      <c r="L710" s="1"/>
      <c r="M710" s="1"/>
      <c r="N710" s="1"/>
      <c r="O710"/>
      <c r="Q710"/>
      <c r="R710"/>
      <c r="S710"/>
      <c r="T710"/>
      <c r="U710"/>
      <c r="V710"/>
    </row>
    <row r="711" spans="2:22" x14ac:dyDescent="0.3">
      <c r="B711"/>
      <c r="C711" s="1"/>
      <c r="D711" s="1"/>
      <c r="E711" s="2"/>
      <c r="F711" s="1"/>
      <c r="G711" s="5"/>
      <c r="H711" s="5"/>
      <c r="I711" s="1"/>
      <c r="J711" s="1"/>
      <c r="K711" s="1"/>
      <c r="L711" s="1"/>
      <c r="M711" s="1"/>
      <c r="N711" s="1"/>
      <c r="O711"/>
      <c r="Q711"/>
      <c r="R711"/>
      <c r="S711"/>
      <c r="T711"/>
      <c r="U711"/>
      <c r="V711"/>
    </row>
    <row r="712" spans="2:22" x14ac:dyDescent="0.3">
      <c r="B712"/>
      <c r="C712" s="1"/>
      <c r="D712" s="1"/>
      <c r="E712" s="2"/>
      <c r="F712" s="1"/>
      <c r="G712" s="5"/>
      <c r="H712" s="5"/>
      <c r="I712" s="1"/>
      <c r="J712" s="1"/>
      <c r="K712" s="1"/>
      <c r="L712" s="1"/>
      <c r="M712" s="1"/>
      <c r="N712" s="1"/>
      <c r="O712"/>
      <c r="Q712"/>
      <c r="R712"/>
      <c r="S712"/>
      <c r="T712"/>
      <c r="U712"/>
      <c r="V712"/>
    </row>
    <row r="713" spans="2:22" x14ac:dyDescent="0.3">
      <c r="B713"/>
      <c r="C713" s="1"/>
      <c r="D713" s="1"/>
      <c r="E713" s="2"/>
      <c r="F713" s="1"/>
      <c r="G713" s="5"/>
      <c r="H713" s="5"/>
      <c r="I713" s="1"/>
      <c r="J713" s="1"/>
      <c r="K713" s="1"/>
      <c r="L713" s="1"/>
      <c r="M713" s="1"/>
      <c r="N713" s="1"/>
      <c r="O713"/>
      <c r="Q713"/>
      <c r="R713"/>
      <c r="S713"/>
      <c r="T713"/>
      <c r="U713"/>
      <c r="V713"/>
    </row>
    <row r="714" spans="2:22" x14ac:dyDescent="0.3">
      <c r="B714"/>
      <c r="C714" s="1"/>
      <c r="D714" s="1"/>
      <c r="E714" s="2"/>
      <c r="F714" s="1"/>
      <c r="G714" s="5"/>
      <c r="H714" s="5"/>
      <c r="I714" s="1"/>
      <c r="J714" s="1"/>
      <c r="K714" s="1"/>
      <c r="L714" s="1"/>
      <c r="M714" s="1"/>
      <c r="N714" s="1"/>
      <c r="O714"/>
      <c r="Q714"/>
      <c r="R714"/>
      <c r="S714"/>
      <c r="T714"/>
      <c r="U714"/>
      <c r="V714"/>
    </row>
    <row r="715" spans="2:22" x14ac:dyDescent="0.3">
      <c r="B715"/>
      <c r="C715" s="1"/>
      <c r="D715" s="1"/>
      <c r="E715" s="2"/>
      <c r="F715" s="1"/>
      <c r="G715" s="5"/>
      <c r="H715" s="5"/>
      <c r="I715" s="1"/>
      <c r="J715" s="1"/>
      <c r="K715" s="1"/>
      <c r="L715" s="1"/>
      <c r="M715" s="1"/>
      <c r="N715" s="1"/>
      <c r="O715"/>
      <c r="Q715"/>
      <c r="R715"/>
      <c r="S715"/>
      <c r="T715"/>
      <c r="U715"/>
      <c r="V715"/>
    </row>
    <row r="716" spans="2:22" x14ac:dyDescent="0.3">
      <c r="B716"/>
      <c r="C716" s="1"/>
      <c r="D716" s="1"/>
      <c r="E716" s="2"/>
      <c r="F716" s="1"/>
      <c r="G716" s="5"/>
      <c r="H716" s="5"/>
      <c r="I716" s="1"/>
      <c r="J716" s="1"/>
      <c r="K716" s="1"/>
      <c r="L716" s="1"/>
      <c r="M716" s="1"/>
      <c r="N716" s="1"/>
      <c r="O716"/>
      <c r="Q716"/>
      <c r="R716"/>
      <c r="S716"/>
      <c r="T716"/>
      <c r="U716"/>
      <c r="V716"/>
    </row>
    <row r="717" spans="2:22" x14ac:dyDescent="0.3">
      <c r="B717"/>
      <c r="C717" s="1"/>
      <c r="D717" s="1"/>
      <c r="E717" s="2"/>
      <c r="F717" s="1"/>
      <c r="G717" s="5"/>
      <c r="H717" s="5"/>
      <c r="I717" s="1"/>
      <c r="J717" s="1"/>
      <c r="K717" s="1"/>
      <c r="L717" s="1"/>
      <c r="M717" s="1"/>
      <c r="N717" s="1"/>
      <c r="O717"/>
      <c r="Q717"/>
      <c r="R717"/>
      <c r="S717"/>
      <c r="T717"/>
      <c r="U717"/>
      <c r="V717"/>
    </row>
    <row r="718" spans="2:22" x14ac:dyDescent="0.3">
      <c r="B718"/>
      <c r="C718" s="1"/>
      <c r="D718" s="1"/>
      <c r="E718" s="2"/>
      <c r="F718" s="1"/>
      <c r="G718" s="5"/>
      <c r="H718" s="5"/>
      <c r="I718" s="1"/>
      <c r="J718" s="1"/>
      <c r="K718" s="1"/>
      <c r="L718" s="1"/>
      <c r="M718" s="1"/>
      <c r="N718" s="1"/>
      <c r="O718"/>
      <c r="Q718"/>
      <c r="R718"/>
      <c r="S718"/>
      <c r="T718"/>
      <c r="U718"/>
      <c r="V718"/>
    </row>
    <row r="719" spans="2:22" x14ac:dyDescent="0.3">
      <c r="B719"/>
      <c r="C719" s="1"/>
      <c r="D719" s="1"/>
      <c r="E719" s="2"/>
      <c r="F719" s="1"/>
      <c r="G719" s="5"/>
      <c r="H719" s="5"/>
      <c r="I719" s="1"/>
      <c r="J719" s="1"/>
      <c r="K719" s="1"/>
      <c r="L719" s="1"/>
      <c r="M719" s="1"/>
      <c r="N719" s="1"/>
      <c r="O719"/>
      <c r="Q719"/>
      <c r="R719"/>
      <c r="S719"/>
      <c r="T719"/>
      <c r="U719"/>
      <c r="V719"/>
    </row>
    <row r="720" spans="2:22" x14ac:dyDescent="0.3">
      <c r="B720"/>
      <c r="C720" s="1"/>
      <c r="D720" s="1"/>
      <c r="E720" s="2"/>
      <c r="F720" s="1"/>
      <c r="G720" s="5"/>
      <c r="H720" s="5"/>
      <c r="I720" s="1"/>
      <c r="J720" s="1"/>
      <c r="K720" s="1"/>
      <c r="L720" s="1"/>
      <c r="M720" s="1"/>
      <c r="N720" s="1"/>
      <c r="O720"/>
      <c r="Q720"/>
      <c r="R720"/>
      <c r="S720"/>
      <c r="T720"/>
      <c r="U720"/>
      <c r="V720"/>
    </row>
    <row r="721" spans="2:22" x14ac:dyDescent="0.3">
      <c r="B721"/>
      <c r="C721" s="1"/>
      <c r="D721" s="1"/>
      <c r="E721" s="2"/>
      <c r="F721" s="1"/>
      <c r="G721" s="5"/>
      <c r="H721" s="5"/>
      <c r="I721" s="1"/>
      <c r="J721" s="1"/>
      <c r="K721" s="1"/>
      <c r="L721" s="1"/>
      <c r="M721" s="1"/>
      <c r="N721" s="1"/>
      <c r="O721"/>
      <c r="Q721"/>
      <c r="R721"/>
      <c r="S721"/>
      <c r="T721"/>
      <c r="U721"/>
      <c r="V721"/>
    </row>
    <row r="722" spans="2:22" x14ac:dyDescent="0.3">
      <c r="B722"/>
      <c r="C722" s="1"/>
      <c r="D722" s="1"/>
      <c r="E722" s="2"/>
      <c r="F722" s="1"/>
      <c r="G722" s="5"/>
      <c r="H722" s="5"/>
      <c r="I722" s="1"/>
      <c r="J722" s="1"/>
      <c r="K722" s="1"/>
      <c r="L722" s="1"/>
      <c r="M722" s="1"/>
      <c r="N722" s="1"/>
      <c r="O722"/>
      <c r="Q722"/>
      <c r="R722"/>
      <c r="S722"/>
      <c r="T722"/>
      <c r="U722"/>
      <c r="V722"/>
    </row>
    <row r="723" spans="2:22" x14ac:dyDescent="0.3">
      <c r="B723"/>
      <c r="C723" s="1"/>
      <c r="D723" s="1"/>
      <c r="E723" s="2"/>
      <c r="F723" s="1"/>
      <c r="G723" s="5"/>
      <c r="H723" s="5"/>
      <c r="I723" s="1"/>
      <c r="J723" s="1"/>
      <c r="K723" s="1"/>
      <c r="L723" s="1"/>
      <c r="M723" s="1"/>
      <c r="N723" s="1"/>
      <c r="O723"/>
      <c r="Q723"/>
      <c r="R723"/>
      <c r="S723"/>
      <c r="T723"/>
      <c r="U723"/>
      <c r="V723"/>
    </row>
    <row r="724" spans="2:22" x14ac:dyDescent="0.3">
      <c r="B724"/>
      <c r="C724" s="1"/>
      <c r="D724" s="1"/>
      <c r="E724" s="2"/>
      <c r="F724" s="1"/>
      <c r="G724" s="5"/>
      <c r="H724" s="5"/>
      <c r="I724" s="1"/>
      <c r="J724" s="1"/>
      <c r="K724" s="1"/>
      <c r="L724" s="1"/>
      <c r="M724" s="1"/>
      <c r="N724" s="1"/>
      <c r="O724"/>
      <c r="Q724"/>
      <c r="R724"/>
      <c r="S724"/>
      <c r="T724"/>
      <c r="U724"/>
      <c r="V724"/>
    </row>
    <row r="725" spans="2:22" x14ac:dyDescent="0.3">
      <c r="B725"/>
      <c r="C725" s="1"/>
      <c r="D725" s="1"/>
      <c r="E725" s="2"/>
      <c r="F725" s="1"/>
      <c r="G725" s="5"/>
      <c r="H725" s="5"/>
      <c r="I725" s="1"/>
      <c r="J725" s="1"/>
      <c r="K725" s="1"/>
      <c r="L725" s="1"/>
      <c r="M725" s="1"/>
      <c r="N725" s="1"/>
      <c r="O725"/>
      <c r="Q725"/>
      <c r="R725"/>
      <c r="S725"/>
      <c r="T725"/>
      <c r="U725"/>
      <c r="V725"/>
    </row>
    <row r="726" spans="2:22" x14ac:dyDescent="0.3">
      <c r="B726"/>
      <c r="C726" s="1"/>
      <c r="D726" s="1"/>
      <c r="E726" s="2"/>
      <c r="F726" s="1"/>
      <c r="G726" s="5"/>
      <c r="H726" s="5"/>
      <c r="I726" s="1"/>
      <c r="J726" s="1"/>
      <c r="K726" s="1"/>
      <c r="L726" s="1"/>
      <c r="M726" s="1"/>
      <c r="N726" s="1"/>
      <c r="O726"/>
      <c r="Q726"/>
      <c r="R726"/>
      <c r="S726"/>
      <c r="T726"/>
      <c r="U726"/>
      <c r="V726"/>
    </row>
    <row r="727" spans="2:22" x14ac:dyDescent="0.3">
      <c r="B727"/>
      <c r="C727" s="1"/>
      <c r="D727" s="1"/>
      <c r="E727" s="2"/>
      <c r="F727" s="1"/>
      <c r="G727" s="5"/>
      <c r="H727" s="5"/>
      <c r="I727" s="1"/>
      <c r="J727" s="1"/>
      <c r="K727" s="1"/>
      <c r="L727" s="1"/>
      <c r="M727" s="1"/>
      <c r="N727" s="1"/>
      <c r="O727"/>
      <c r="Q727"/>
      <c r="R727"/>
      <c r="S727"/>
      <c r="T727"/>
      <c r="U727"/>
      <c r="V727"/>
    </row>
    <row r="728" spans="2:22" x14ac:dyDescent="0.3">
      <c r="B728"/>
      <c r="C728" s="1"/>
      <c r="D728" s="1"/>
      <c r="E728" s="2"/>
      <c r="F728" s="1"/>
      <c r="G728" s="5"/>
      <c r="H728" s="5"/>
      <c r="I728" s="1"/>
      <c r="J728" s="1"/>
      <c r="K728" s="1"/>
      <c r="L728" s="1"/>
      <c r="M728" s="1"/>
      <c r="N728" s="1"/>
      <c r="O728"/>
      <c r="Q728"/>
      <c r="R728"/>
      <c r="S728"/>
      <c r="T728"/>
      <c r="U728"/>
      <c r="V728"/>
    </row>
    <row r="729" spans="2:22" x14ac:dyDescent="0.3">
      <c r="B729"/>
      <c r="C729" s="1"/>
      <c r="D729" s="1"/>
      <c r="E729" s="2"/>
      <c r="F729" s="1"/>
      <c r="G729" s="5"/>
      <c r="H729" s="5"/>
      <c r="I729" s="1"/>
      <c r="J729" s="1"/>
      <c r="K729" s="1"/>
      <c r="L729" s="1"/>
      <c r="M729" s="1"/>
      <c r="N729" s="1"/>
      <c r="O729"/>
      <c r="Q729"/>
      <c r="R729"/>
      <c r="S729"/>
      <c r="T729"/>
      <c r="U729"/>
      <c r="V729"/>
    </row>
    <row r="730" spans="2:22" x14ac:dyDescent="0.3">
      <c r="B730"/>
      <c r="C730" s="1"/>
      <c r="D730" s="1"/>
      <c r="E730" s="2"/>
      <c r="F730" s="1"/>
      <c r="G730" s="5"/>
      <c r="H730" s="5"/>
      <c r="I730" s="1"/>
      <c r="J730" s="1"/>
      <c r="K730" s="1"/>
      <c r="L730" s="1"/>
      <c r="M730" s="1"/>
      <c r="N730" s="1"/>
      <c r="O730"/>
      <c r="Q730"/>
      <c r="R730"/>
      <c r="S730"/>
      <c r="T730"/>
      <c r="U730"/>
      <c r="V730"/>
    </row>
    <row r="731" spans="2:22" x14ac:dyDescent="0.3">
      <c r="B731"/>
      <c r="C731" s="1"/>
      <c r="D731" s="1"/>
      <c r="E731" s="2"/>
      <c r="F731" s="1"/>
      <c r="G731" s="5"/>
      <c r="H731" s="5"/>
      <c r="I731" s="1"/>
      <c r="J731" s="1"/>
      <c r="K731" s="1"/>
      <c r="L731" s="1"/>
      <c r="M731" s="1"/>
      <c r="N731" s="1"/>
      <c r="O731"/>
      <c r="Q731"/>
      <c r="R731"/>
      <c r="S731"/>
      <c r="T731"/>
      <c r="U731"/>
      <c r="V731"/>
    </row>
    <row r="732" spans="2:22" x14ac:dyDescent="0.3">
      <c r="B732"/>
      <c r="C732" s="1"/>
      <c r="D732" s="1"/>
      <c r="E732" s="2"/>
      <c r="F732" s="1"/>
      <c r="G732" s="5"/>
      <c r="H732" s="5"/>
      <c r="I732" s="1"/>
      <c r="J732" s="1"/>
      <c r="K732" s="1"/>
      <c r="L732" s="1"/>
      <c r="M732" s="1"/>
      <c r="N732" s="1"/>
      <c r="O732"/>
      <c r="Q732"/>
      <c r="R732"/>
      <c r="S732"/>
      <c r="T732"/>
      <c r="U732"/>
      <c r="V732"/>
    </row>
    <row r="733" spans="2:22" x14ac:dyDescent="0.3">
      <c r="B733"/>
      <c r="C733" s="1"/>
      <c r="D733" s="1"/>
      <c r="E733" s="2"/>
      <c r="F733" s="1"/>
      <c r="G733" s="5"/>
      <c r="H733" s="5"/>
      <c r="I733" s="1"/>
      <c r="J733" s="1"/>
      <c r="K733" s="1"/>
      <c r="L733" s="1"/>
      <c r="M733" s="1"/>
      <c r="N733" s="1"/>
      <c r="O733"/>
      <c r="Q733"/>
      <c r="R733"/>
      <c r="S733"/>
      <c r="T733"/>
      <c r="U733"/>
      <c r="V733"/>
    </row>
    <row r="734" spans="2:22" x14ac:dyDescent="0.3">
      <c r="B734"/>
      <c r="C734" s="1"/>
      <c r="D734" s="1"/>
      <c r="E734" s="2"/>
      <c r="F734" s="1"/>
      <c r="G734" s="5"/>
      <c r="H734" s="5"/>
      <c r="I734" s="1"/>
      <c r="J734" s="1"/>
      <c r="K734" s="1"/>
      <c r="L734" s="1"/>
      <c r="M734" s="1"/>
      <c r="N734" s="1"/>
      <c r="O734"/>
      <c r="Q734"/>
      <c r="R734"/>
      <c r="S734"/>
      <c r="T734"/>
      <c r="U734"/>
      <c r="V734"/>
    </row>
    <row r="735" spans="2:22" x14ac:dyDescent="0.3">
      <c r="B735"/>
      <c r="C735" s="1"/>
      <c r="D735" s="1"/>
      <c r="E735" s="2"/>
      <c r="F735" s="1"/>
      <c r="G735" s="5"/>
      <c r="H735" s="5"/>
      <c r="I735" s="1"/>
      <c r="J735" s="1"/>
      <c r="K735" s="1"/>
      <c r="L735" s="1"/>
      <c r="M735" s="1"/>
      <c r="N735" s="1"/>
      <c r="O735"/>
      <c r="Q735"/>
      <c r="R735"/>
      <c r="S735"/>
      <c r="T735"/>
      <c r="U735"/>
      <c r="V735"/>
    </row>
    <row r="736" spans="2:22" x14ac:dyDescent="0.3">
      <c r="B736"/>
      <c r="C736" s="1"/>
      <c r="D736" s="1"/>
      <c r="E736" s="2"/>
      <c r="F736" s="1"/>
      <c r="G736" s="5"/>
      <c r="H736" s="5"/>
      <c r="I736" s="1"/>
      <c r="J736" s="1"/>
      <c r="K736" s="1"/>
      <c r="L736" s="1"/>
      <c r="M736" s="1"/>
      <c r="N736" s="1"/>
      <c r="O736"/>
      <c r="Q736"/>
      <c r="R736"/>
      <c r="S736"/>
      <c r="T736"/>
      <c r="U736"/>
      <c r="V736"/>
    </row>
    <row r="737" spans="2:22" x14ac:dyDescent="0.3">
      <c r="B737"/>
      <c r="C737" s="1"/>
      <c r="D737" s="1"/>
      <c r="E737" s="2"/>
      <c r="F737" s="1"/>
      <c r="G737" s="5"/>
      <c r="H737" s="5"/>
      <c r="I737" s="1"/>
      <c r="J737" s="1"/>
      <c r="K737" s="1"/>
      <c r="L737" s="1"/>
      <c r="M737" s="1"/>
      <c r="N737" s="1"/>
      <c r="O737"/>
      <c r="Q737"/>
      <c r="R737"/>
      <c r="S737"/>
      <c r="T737"/>
      <c r="U737"/>
      <c r="V737"/>
    </row>
    <row r="738" spans="2:22" x14ac:dyDescent="0.3">
      <c r="B738"/>
      <c r="C738" s="1"/>
      <c r="D738" s="1"/>
      <c r="E738" s="2"/>
      <c r="F738" s="1"/>
      <c r="G738" s="5"/>
      <c r="H738" s="5"/>
      <c r="I738" s="1"/>
      <c r="J738" s="1"/>
      <c r="K738" s="1"/>
      <c r="L738" s="1"/>
      <c r="M738" s="1"/>
      <c r="N738" s="1"/>
      <c r="O738"/>
      <c r="Q738"/>
      <c r="R738"/>
      <c r="S738"/>
      <c r="T738"/>
      <c r="U738"/>
      <c r="V738"/>
    </row>
    <row r="739" spans="2:22" x14ac:dyDescent="0.3">
      <c r="B739"/>
      <c r="C739" s="1"/>
      <c r="D739" s="1"/>
      <c r="E739" s="2"/>
      <c r="F739" s="1"/>
      <c r="G739" s="5"/>
      <c r="H739" s="5"/>
      <c r="I739" s="1"/>
      <c r="J739" s="1"/>
      <c r="K739" s="1"/>
      <c r="L739" s="1"/>
      <c r="M739" s="1"/>
      <c r="N739" s="1"/>
      <c r="O739"/>
      <c r="Q739"/>
      <c r="R739"/>
      <c r="S739"/>
      <c r="T739"/>
      <c r="U739"/>
      <c r="V739"/>
    </row>
    <row r="740" spans="2:22" x14ac:dyDescent="0.3">
      <c r="B740"/>
      <c r="C740" s="1"/>
      <c r="D740" s="1"/>
      <c r="E740" s="2"/>
      <c r="F740" s="1"/>
      <c r="G740" s="5"/>
      <c r="H740" s="5"/>
      <c r="I740" s="1"/>
      <c r="J740" s="1"/>
      <c r="K740" s="1"/>
      <c r="L740" s="1"/>
      <c r="M740" s="1"/>
      <c r="N740" s="1"/>
      <c r="O740"/>
      <c r="Q740"/>
      <c r="R740"/>
      <c r="S740"/>
      <c r="T740"/>
      <c r="U740"/>
      <c r="V740"/>
    </row>
    <row r="741" spans="2:22" x14ac:dyDescent="0.3">
      <c r="B741"/>
      <c r="C741" s="1"/>
      <c r="D741" s="1"/>
      <c r="E741" s="2"/>
      <c r="F741" s="1"/>
      <c r="G741" s="5"/>
      <c r="H741" s="5"/>
      <c r="I741" s="1"/>
      <c r="J741" s="1"/>
      <c r="K741" s="1"/>
      <c r="L741" s="1"/>
      <c r="M741" s="1"/>
      <c r="N741" s="1"/>
      <c r="O741"/>
      <c r="Q741"/>
      <c r="R741"/>
      <c r="S741"/>
      <c r="T741"/>
      <c r="U741"/>
      <c r="V741"/>
    </row>
    <row r="742" spans="2:22" x14ac:dyDescent="0.3">
      <c r="B742"/>
      <c r="C742" s="1"/>
      <c r="D742" s="1"/>
      <c r="E742" s="2"/>
      <c r="F742" s="1"/>
      <c r="G742" s="5"/>
      <c r="H742" s="5"/>
      <c r="I742" s="1"/>
      <c r="J742" s="1"/>
      <c r="K742" s="1"/>
      <c r="L742" s="1"/>
      <c r="M742" s="1"/>
      <c r="N742" s="1"/>
      <c r="O742"/>
      <c r="Q742"/>
      <c r="R742"/>
      <c r="S742"/>
      <c r="T742"/>
      <c r="U742"/>
      <c r="V742"/>
    </row>
    <row r="743" spans="2:22" x14ac:dyDescent="0.3">
      <c r="B743"/>
      <c r="C743" s="1"/>
      <c r="D743" s="1"/>
      <c r="E743" s="2"/>
      <c r="F743" s="1"/>
      <c r="G743" s="5"/>
      <c r="H743" s="5"/>
      <c r="I743" s="1"/>
      <c r="J743" s="1"/>
      <c r="K743" s="1"/>
      <c r="L743" s="1"/>
      <c r="M743" s="1"/>
      <c r="N743" s="1"/>
      <c r="O743"/>
      <c r="Q743"/>
      <c r="R743"/>
      <c r="S743"/>
      <c r="T743"/>
      <c r="U743"/>
      <c r="V743"/>
    </row>
    <row r="744" spans="2:22" x14ac:dyDescent="0.3">
      <c r="B744"/>
      <c r="C744" s="1"/>
      <c r="D744" s="1"/>
      <c r="E744" s="2"/>
      <c r="F744" s="1"/>
      <c r="G744" s="5"/>
      <c r="H744" s="5"/>
      <c r="I744" s="1"/>
      <c r="J744" s="1"/>
      <c r="K744" s="1"/>
      <c r="L744" s="1"/>
      <c r="M744" s="1"/>
      <c r="N744" s="1"/>
      <c r="O744"/>
      <c r="Q744"/>
      <c r="R744"/>
      <c r="S744"/>
      <c r="T744"/>
      <c r="U744"/>
      <c r="V744"/>
    </row>
    <row r="745" spans="2:22" x14ac:dyDescent="0.3">
      <c r="B745"/>
      <c r="C745" s="1"/>
      <c r="D745" s="1"/>
      <c r="E745" s="2"/>
      <c r="F745" s="1"/>
      <c r="G745" s="5"/>
      <c r="H745" s="5"/>
      <c r="I745" s="1"/>
      <c r="J745" s="1"/>
      <c r="K745" s="1"/>
      <c r="L745" s="1"/>
      <c r="M745" s="1"/>
      <c r="N745" s="1"/>
      <c r="O745"/>
      <c r="Q745"/>
      <c r="R745"/>
      <c r="S745"/>
      <c r="T745"/>
      <c r="U745"/>
      <c r="V745"/>
    </row>
    <row r="746" spans="2:22" x14ac:dyDescent="0.3">
      <c r="B746"/>
      <c r="C746" s="1"/>
      <c r="D746" s="1"/>
      <c r="E746" s="2"/>
      <c r="F746" s="1"/>
      <c r="G746" s="5"/>
      <c r="H746" s="5"/>
      <c r="I746" s="1"/>
      <c r="J746" s="1"/>
      <c r="K746" s="1"/>
      <c r="L746" s="1"/>
      <c r="M746" s="1"/>
      <c r="N746" s="1"/>
      <c r="O746"/>
      <c r="Q746"/>
      <c r="R746"/>
      <c r="S746"/>
      <c r="T746"/>
      <c r="U746"/>
      <c r="V746"/>
    </row>
    <row r="747" spans="2:22" x14ac:dyDescent="0.3">
      <c r="B747"/>
      <c r="C747" s="1"/>
      <c r="D747" s="1"/>
      <c r="E747" s="2"/>
      <c r="F747" s="1"/>
      <c r="G747" s="5"/>
      <c r="H747" s="5"/>
      <c r="I747" s="1"/>
      <c r="J747" s="1"/>
      <c r="K747" s="1"/>
      <c r="L747" s="1"/>
      <c r="M747" s="1"/>
      <c r="N747" s="1"/>
      <c r="O747"/>
      <c r="Q747"/>
      <c r="R747"/>
      <c r="S747"/>
      <c r="T747"/>
      <c r="U747"/>
      <c r="V747"/>
    </row>
    <row r="748" spans="2:22" x14ac:dyDescent="0.3">
      <c r="B748"/>
      <c r="C748" s="1"/>
      <c r="D748" s="1"/>
      <c r="E748" s="2"/>
      <c r="F748" s="1"/>
      <c r="G748" s="5"/>
      <c r="H748" s="5"/>
      <c r="I748" s="1"/>
      <c r="J748" s="1"/>
      <c r="K748" s="1"/>
      <c r="L748" s="1"/>
      <c r="M748" s="1"/>
      <c r="N748" s="1"/>
      <c r="O748"/>
      <c r="Q748"/>
      <c r="R748"/>
      <c r="S748"/>
      <c r="T748"/>
      <c r="U748"/>
      <c r="V748"/>
    </row>
    <row r="749" spans="2:22" x14ac:dyDescent="0.3">
      <c r="B749"/>
      <c r="C749" s="1"/>
      <c r="D749" s="1"/>
      <c r="E749" s="2"/>
      <c r="F749" s="1"/>
      <c r="G749" s="5"/>
      <c r="H749" s="5"/>
      <c r="I749" s="1"/>
      <c r="J749" s="1"/>
      <c r="K749" s="1"/>
      <c r="L749" s="1"/>
      <c r="M749" s="1"/>
      <c r="N749" s="1"/>
      <c r="O749"/>
      <c r="Q749"/>
      <c r="R749"/>
      <c r="S749"/>
      <c r="T749"/>
      <c r="U749"/>
      <c r="V749"/>
    </row>
    <row r="750" spans="2:22" x14ac:dyDescent="0.3">
      <c r="B750"/>
      <c r="C750" s="1"/>
      <c r="D750" s="1"/>
      <c r="E750" s="2"/>
      <c r="F750" s="1"/>
      <c r="G750" s="5"/>
      <c r="H750" s="5"/>
      <c r="I750" s="1"/>
      <c r="J750" s="1"/>
      <c r="K750" s="1"/>
      <c r="L750" s="1"/>
      <c r="M750" s="1"/>
      <c r="N750" s="1"/>
      <c r="O750"/>
      <c r="Q750"/>
      <c r="R750"/>
      <c r="S750"/>
      <c r="T750"/>
      <c r="U750"/>
      <c r="V750"/>
    </row>
    <row r="751" spans="2:22" x14ac:dyDescent="0.3">
      <c r="B751"/>
      <c r="C751" s="1"/>
      <c r="D751" s="1"/>
      <c r="E751" s="2"/>
      <c r="F751" s="1"/>
      <c r="G751" s="5"/>
      <c r="H751" s="5"/>
      <c r="I751" s="1"/>
      <c r="J751" s="1"/>
      <c r="K751" s="1"/>
      <c r="L751" s="1"/>
      <c r="M751" s="1"/>
      <c r="N751" s="1"/>
      <c r="O751"/>
      <c r="Q751"/>
      <c r="R751"/>
      <c r="S751"/>
      <c r="T751"/>
      <c r="U751"/>
      <c r="V751"/>
    </row>
    <row r="752" spans="2:22" x14ac:dyDescent="0.3">
      <c r="B752"/>
      <c r="C752" s="1"/>
      <c r="D752" s="1"/>
      <c r="E752" s="2"/>
      <c r="F752" s="1"/>
      <c r="G752" s="5"/>
      <c r="H752" s="5"/>
      <c r="I752" s="1"/>
      <c r="J752" s="1"/>
      <c r="K752" s="1"/>
      <c r="L752" s="1"/>
      <c r="M752" s="1"/>
      <c r="N752" s="1"/>
      <c r="O752"/>
      <c r="Q752"/>
      <c r="R752"/>
      <c r="S752"/>
      <c r="T752"/>
      <c r="U752"/>
      <c r="V752"/>
    </row>
    <row r="753" spans="2:22" x14ac:dyDescent="0.3">
      <c r="B753"/>
      <c r="C753" s="1"/>
      <c r="D753" s="1"/>
      <c r="E753" s="2"/>
      <c r="F753" s="1"/>
      <c r="G753" s="5"/>
      <c r="H753" s="5"/>
      <c r="I753" s="1"/>
      <c r="J753" s="1"/>
      <c r="K753" s="1"/>
      <c r="L753" s="1"/>
      <c r="M753" s="1"/>
      <c r="N753" s="1"/>
      <c r="O753"/>
      <c r="Q753"/>
      <c r="R753"/>
      <c r="S753"/>
      <c r="T753"/>
      <c r="U753"/>
      <c r="V753"/>
    </row>
    <row r="754" spans="2:22" x14ac:dyDescent="0.3">
      <c r="B754"/>
      <c r="C754" s="1"/>
      <c r="D754" s="1"/>
      <c r="E754" s="2"/>
      <c r="F754" s="1"/>
      <c r="G754" s="5"/>
      <c r="H754" s="5"/>
      <c r="I754" s="1"/>
      <c r="J754" s="1"/>
      <c r="K754" s="1"/>
      <c r="L754" s="1"/>
      <c r="M754" s="1"/>
      <c r="N754" s="1"/>
      <c r="O754"/>
      <c r="Q754"/>
      <c r="R754"/>
      <c r="S754"/>
      <c r="T754"/>
      <c r="U754"/>
      <c r="V754"/>
    </row>
    <row r="755" spans="2:22" x14ac:dyDescent="0.3">
      <c r="B755"/>
      <c r="C755" s="1"/>
      <c r="D755" s="1"/>
      <c r="E755" s="2"/>
      <c r="F755" s="1"/>
      <c r="G755" s="5"/>
      <c r="H755" s="5"/>
      <c r="I755" s="1"/>
      <c r="J755" s="1"/>
      <c r="K755" s="1"/>
      <c r="L755" s="1"/>
      <c r="M755" s="1"/>
      <c r="N755" s="1"/>
      <c r="O755"/>
      <c r="Q755"/>
      <c r="R755"/>
      <c r="S755"/>
      <c r="T755"/>
      <c r="U755"/>
      <c r="V755"/>
    </row>
    <row r="756" spans="2:22" x14ac:dyDescent="0.3">
      <c r="B756"/>
      <c r="C756" s="1"/>
      <c r="D756" s="1"/>
      <c r="E756" s="2"/>
      <c r="F756" s="1"/>
      <c r="G756" s="5"/>
      <c r="H756" s="5"/>
      <c r="I756" s="1"/>
      <c r="J756" s="1"/>
      <c r="K756" s="1"/>
      <c r="L756" s="1"/>
      <c r="M756" s="1"/>
      <c r="N756" s="1"/>
      <c r="O756"/>
      <c r="Q756"/>
      <c r="R756"/>
      <c r="S756"/>
      <c r="T756"/>
      <c r="U756"/>
      <c r="V756"/>
    </row>
    <row r="757" spans="2:22" x14ac:dyDescent="0.3">
      <c r="B757"/>
      <c r="C757" s="1"/>
      <c r="D757" s="1"/>
      <c r="E757" s="2"/>
      <c r="F757" s="1"/>
      <c r="G757" s="5"/>
      <c r="H757" s="5"/>
      <c r="I757" s="1"/>
      <c r="J757" s="1"/>
      <c r="K757" s="1"/>
      <c r="L757" s="1"/>
      <c r="M757" s="1"/>
      <c r="N757" s="1"/>
      <c r="O757"/>
      <c r="Q757"/>
      <c r="R757"/>
      <c r="S757"/>
      <c r="T757"/>
      <c r="U757"/>
      <c r="V757"/>
    </row>
    <row r="758" spans="2:22" x14ac:dyDescent="0.3">
      <c r="B758"/>
      <c r="C758" s="1"/>
      <c r="D758" s="1"/>
      <c r="E758" s="2"/>
      <c r="F758" s="1"/>
      <c r="G758" s="5"/>
      <c r="H758" s="5"/>
      <c r="I758" s="1"/>
      <c r="J758" s="1"/>
      <c r="K758" s="1"/>
      <c r="L758" s="1"/>
      <c r="M758" s="1"/>
      <c r="N758" s="1"/>
      <c r="O758"/>
      <c r="Q758"/>
      <c r="R758"/>
      <c r="S758"/>
      <c r="T758"/>
      <c r="U758"/>
      <c r="V758"/>
    </row>
    <row r="759" spans="2:22" x14ac:dyDescent="0.3">
      <c r="B759"/>
      <c r="C759" s="1"/>
      <c r="D759" s="1"/>
      <c r="E759" s="2"/>
      <c r="F759" s="1"/>
      <c r="G759" s="5"/>
      <c r="H759" s="5"/>
      <c r="I759" s="1"/>
      <c r="J759" s="1"/>
      <c r="K759" s="1"/>
      <c r="L759" s="1"/>
      <c r="M759" s="1"/>
      <c r="N759" s="1"/>
      <c r="O759"/>
      <c r="Q759"/>
      <c r="R759"/>
      <c r="S759"/>
      <c r="T759"/>
      <c r="U759"/>
      <c r="V759"/>
    </row>
    <row r="760" spans="2:22" x14ac:dyDescent="0.3">
      <c r="B760"/>
      <c r="C760" s="1"/>
      <c r="D760" s="1"/>
      <c r="E760" s="2"/>
      <c r="F760" s="1"/>
      <c r="G760" s="5"/>
      <c r="H760" s="5"/>
      <c r="I760" s="1"/>
      <c r="J760" s="1"/>
      <c r="K760" s="1"/>
      <c r="L760" s="1"/>
      <c r="M760" s="1"/>
      <c r="N760" s="1"/>
      <c r="O760"/>
      <c r="Q760"/>
      <c r="R760"/>
      <c r="S760"/>
      <c r="T760"/>
      <c r="U760"/>
      <c r="V760"/>
    </row>
    <row r="761" spans="2:22" x14ac:dyDescent="0.3">
      <c r="B761"/>
      <c r="C761" s="1"/>
      <c r="D761" s="1"/>
      <c r="E761" s="2"/>
      <c r="F761" s="1"/>
      <c r="G761" s="5"/>
      <c r="H761" s="5"/>
      <c r="I761" s="1"/>
      <c r="J761" s="1"/>
      <c r="K761" s="1"/>
      <c r="L761" s="1"/>
      <c r="M761" s="1"/>
      <c r="N761" s="1"/>
      <c r="O761"/>
      <c r="Q761"/>
      <c r="R761"/>
      <c r="S761"/>
      <c r="T761"/>
      <c r="U761"/>
      <c r="V761"/>
    </row>
    <row r="762" spans="2:22" x14ac:dyDescent="0.3">
      <c r="B762"/>
      <c r="C762" s="1"/>
      <c r="D762" s="1"/>
      <c r="E762" s="2"/>
      <c r="F762" s="1"/>
      <c r="G762" s="5"/>
      <c r="H762" s="5"/>
      <c r="I762" s="1"/>
      <c r="J762" s="1"/>
      <c r="K762" s="1"/>
      <c r="L762" s="1"/>
      <c r="M762" s="1"/>
      <c r="N762" s="1"/>
      <c r="O762"/>
      <c r="Q762"/>
      <c r="R762"/>
      <c r="S762"/>
      <c r="T762"/>
      <c r="U762"/>
      <c r="V762"/>
    </row>
    <row r="763" spans="2:22" x14ac:dyDescent="0.3">
      <c r="B763"/>
      <c r="C763" s="1"/>
      <c r="D763" s="1"/>
      <c r="E763" s="2"/>
      <c r="F763" s="1"/>
      <c r="G763" s="5"/>
      <c r="H763" s="5"/>
      <c r="I763" s="1"/>
      <c r="J763" s="1"/>
      <c r="K763" s="1"/>
      <c r="L763" s="1"/>
      <c r="M763" s="1"/>
      <c r="N763" s="1"/>
      <c r="O763"/>
      <c r="Q763"/>
      <c r="R763"/>
      <c r="S763"/>
      <c r="T763"/>
      <c r="U763"/>
      <c r="V763"/>
    </row>
    <row r="764" spans="2:22" x14ac:dyDescent="0.3">
      <c r="B764"/>
      <c r="C764" s="1"/>
      <c r="D764" s="1"/>
      <c r="E764" s="2"/>
      <c r="F764" s="1"/>
      <c r="G764" s="5"/>
      <c r="H764" s="5"/>
      <c r="I764" s="1"/>
      <c r="J764" s="1"/>
      <c r="K764" s="1"/>
      <c r="L764" s="1"/>
      <c r="M764" s="1"/>
      <c r="N764" s="1"/>
      <c r="O764"/>
      <c r="Q764"/>
      <c r="R764"/>
      <c r="S764"/>
      <c r="T764"/>
      <c r="U764"/>
      <c r="V764"/>
    </row>
    <row r="765" spans="2:22" x14ac:dyDescent="0.3">
      <c r="B765"/>
      <c r="C765" s="1"/>
      <c r="D765" s="1"/>
      <c r="E765" s="2"/>
      <c r="F765" s="1"/>
      <c r="G765" s="5"/>
      <c r="H765" s="5"/>
      <c r="I765" s="1"/>
      <c r="J765" s="1"/>
      <c r="K765" s="1"/>
      <c r="L765" s="1"/>
      <c r="M765" s="1"/>
      <c r="N765" s="1"/>
      <c r="O765"/>
      <c r="Q765"/>
      <c r="R765"/>
      <c r="S765"/>
      <c r="T765"/>
      <c r="U765"/>
      <c r="V765"/>
    </row>
    <row r="766" spans="2:22" x14ac:dyDescent="0.3">
      <c r="B766"/>
      <c r="C766" s="1"/>
      <c r="D766" s="1"/>
      <c r="E766" s="2"/>
      <c r="F766" s="1"/>
      <c r="G766" s="5"/>
      <c r="H766" s="5"/>
      <c r="I766" s="1"/>
      <c r="J766" s="1"/>
      <c r="K766" s="1"/>
      <c r="L766" s="1"/>
      <c r="M766" s="1"/>
      <c r="N766" s="1"/>
      <c r="O766"/>
      <c r="Q766"/>
      <c r="R766"/>
      <c r="S766"/>
      <c r="T766"/>
      <c r="U766"/>
      <c r="V766"/>
    </row>
    <row r="767" spans="2:22" x14ac:dyDescent="0.3">
      <c r="B767"/>
      <c r="C767" s="1"/>
      <c r="D767" s="1"/>
      <c r="E767" s="2"/>
      <c r="F767" s="1"/>
      <c r="G767" s="5"/>
      <c r="H767" s="5"/>
      <c r="I767" s="1"/>
      <c r="J767" s="1"/>
      <c r="K767" s="1"/>
      <c r="L767" s="1"/>
      <c r="M767" s="1"/>
      <c r="N767" s="1"/>
      <c r="O767"/>
      <c r="Q767"/>
      <c r="R767"/>
      <c r="S767"/>
      <c r="T767"/>
      <c r="U767"/>
      <c r="V767"/>
    </row>
    <row r="768" spans="2:22" x14ac:dyDescent="0.3">
      <c r="B768"/>
      <c r="C768" s="1"/>
      <c r="D768" s="1"/>
      <c r="E768" s="2"/>
      <c r="F768" s="1"/>
      <c r="G768" s="5"/>
      <c r="H768" s="5"/>
      <c r="I768" s="1"/>
      <c r="J768" s="1"/>
      <c r="K768" s="1"/>
      <c r="L768" s="1"/>
      <c r="M768" s="1"/>
      <c r="N768" s="1"/>
      <c r="O768"/>
      <c r="Q768"/>
      <c r="R768"/>
      <c r="S768"/>
      <c r="T768"/>
      <c r="U768"/>
      <c r="V768"/>
    </row>
    <row r="769" spans="2:22" x14ac:dyDescent="0.3">
      <c r="B769"/>
      <c r="C769" s="1"/>
      <c r="D769" s="1"/>
      <c r="E769" s="2"/>
      <c r="F769" s="1"/>
      <c r="G769" s="5"/>
      <c r="H769" s="5"/>
      <c r="I769" s="1"/>
      <c r="J769" s="1"/>
      <c r="K769" s="1"/>
      <c r="L769" s="1"/>
      <c r="M769" s="1"/>
      <c r="N769" s="1"/>
      <c r="O769"/>
      <c r="Q769"/>
      <c r="R769"/>
      <c r="S769"/>
      <c r="T769"/>
      <c r="U769"/>
      <c r="V769"/>
    </row>
    <row r="770" spans="2:22" x14ac:dyDescent="0.3">
      <c r="B770"/>
      <c r="C770" s="1"/>
      <c r="D770" s="1"/>
      <c r="E770" s="2"/>
      <c r="F770" s="1"/>
      <c r="G770" s="5"/>
      <c r="H770" s="5"/>
      <c r="I770" s="1"/>
      <c r="J770" s="1"/>
      <c r="K770" s="1"/>
      <c r="L770" s="1"/>
      <c r="M770" s="1"/>
      <c r="N770" s="1"/>
      <c r="O770"/>
      <c r="Q770"/>
      <c r="R770"/>
      <c r="S770"/>
      <c r="T770"/>
      <c r="U770"/>
      <c r="V770"/>
    </row>
    <row r="771" spans="2:22" x14ac:dyDescent="0.3">
      <c r="B771"/>
      <c r="C771" s="1"/>
      <c r="D771" s="1"/>
      <c r="E771" s="2"/>
      <c r="F771" s="1"/>
      <c r="G771" s="5"/>
      <c r="H771" s="5"/>
      <c r="I771" s="1"/>
      <c r="J771" s="1"/>
      <c r="K771" s="1"/>
      <c r="L771" s="1"/>
      <c r="M771" s="1"/>
      <c r="N771" s="1"/>
      <c r="O771"/>
      <c r="Q771"/>
      <c r="R771"/>
      <c r="S771"/>
      <c r="T771"/>
      <c r="U771"/>
      <c r="V771"/>
    </row>
    <row r="772" spans="2:22" x14ac:dyDescent="0.3">
      <c r="B772"/>
      <c r="C772" s="1"/>
      <c r="D772" s="1"/>
      <c r="E772" s="2"/>
      <c r="F772" s="1"/>
      <c r="G772" s="5"/>
      <c r="H772" s="5"/>
      <c r="I772" s="1"/>
      <c r="J772" s="1"/>
      <c r="K772" s="1"/>
      <c r="L772" s="1"/>
      <c r="M772" s="1"/>
      <c r="N772" s="1"/>
      <c r="O772"/>
      <c r="Q772"/>
      <c r="R772"/>
      <c r="S772"/>
      <c r="T772"/>
      <c r="U772"/>
      <c r="V772"/>
    </row>
    <row r="773" spans="2:22" x14ac:dyDescent="0.3">
      <c r="B773"/>
      <c r="C773" s="1"/>
      <c r="D773" s="1"/>
      <c r="E773" s="2"/>
      <c r="F773" s="1"/>
      <c r="G773" s="5"/>
      <c r="H773" s="5"/>
      <c r="I773" s="1"/>
      <c r="J773" s="1"/>
      <c r="K773" s="1"/>
      <c r="L773" s="1"/>
      <c r="M773" s="1"/>
      <c r="N773" s="1"/>
      <c r="O773"/>
      <c r="Q773"/>
      <c r="R773"/>
      <c r="S773"/>
      <c r="T773"/>
      <c r="U773"/>
      <c r="V773"/>
    </row>
    <row r="774" spans="2:22" x14ac:dyDescent="0.3">
      <c r="B774"/>
      <c r="C774" s="1"/>
      <c r="D774" s="1"/>
      <c r="E774" s="2"/>
      <c r="F774" s="1"/>
      <c r="G774" s="5"/>
      <c r="H774" s="5"/>
      <c r="I774" s="1"/>
      <c r="J774" s="1"/>
      <c r="K774" s="1"/>
      <c r="L774" s="1"/>
      <c r="M774" s="1"/>
      <c r="N774" s="1"/>
      <c r="O774"/>
      <c r="Q774"/>
      <c r="R774"/>
      <c r="S774"/>
      <c r="T774"/>
      <c r="U774"/>
      <c r="V774"/>
    </row>
    <row r="775" spans="2:22" x14ac:dyDescent="0.3">
      <c r="B775"/>
      <c r="C775" s="1"/>
      <c r="D775" s="1"/>
      <c r="E775" s="2"/>
      <c r="F775" s="1"/>
      <c r="G775" s="5"/>
      <c r="H775" s="5"/>
      <c r="I775" s="1"/>
      <c r="J775" s="1"/>
      <c r="K775" s="1"/>
      <c r="L775" s="1"/>
      <c r="M775" s="1"/>
      <c r="N775" s="1"/>
      <c r="O775"/>
      <c r="Q775"/>
      <c r="R775"/>
      <c r="S775"/>
      <c r="T775"/>
      <c r="U775"/>
      <c r="V775"/>
    </row>
    <row r="776" spans="2:22" x14ac:dyDescent="0.3">
      <c r="B776"/>
      <c r="C776" s="1"/>
      <c r="D776" s="1"/>
      <c r="E776" s="2"/>
      <c r="F776" s="1"/>
      <c r="G776" s="5"/>
      <c r="H776" s="5"/>
      <c r="I776" s="1"/>
      <c r="J776" s="1"/>
      <c r="K776" s="1"/>
      <c r="L776" s="1"/>
      <c r="M776" s="1"/>
      <c r="N776" s="1"/>
      <c r="O776"/>
      <c r="Q776"/>
      <c r="R776"/>
      <c r="S776"/>
      <c r="T776"/>
      <c r="U776"/>
      <c r="V776"/>
    </row>
    <row r="777" spans="2:22" x14ac:dyDescent="0.3">
      <c r="B777"/>
      <c r="C777" s="1"/>
      <c r="D777" s="1"/>
      <c r="E777" s="2"/>
      <c r="F777" s="1"/>
      <c r="G777" s="5"/>
      <c r="H777" s="5"/>
      <c r="I777" s="1"/>
      <c r="J777" s="1"/>
      <c r="K777" s="1"/>
      <c r="L777" s="1"/>
      <c r="M777" s="1"/>
      <c r="N777" s="1"/>
      <c r="O777"/>
      <c r="Q777"/>
      <c r="R777"/>
      <c r="S777"/>
      <c r="T777"/>
      <c r="U777"/>
      <c r="V777"/>
    </row>
    <row r="778" spans="2:22" x14ac:dyDescent="0.3">
      <c r="B778"/>
      <c r="C778" s="1"/>
      <c r="D778" s="1"/>
      <c r="E778" s="2"/>
      <c r="F778" s="1"/>
      <c r="G778" s="5"/>
      <c r="H778" s="5"/>
      <c r="I778" s="1"/>
      <c r="J778" s="1"/>
      <c r="K778" s="1"/>
      <c r="L778" s="1"/>
      <c r="M778" s="1"/>
      <c r="N778" s="1"/>
      <c r="O778"/>
      <c r="Q778"/>
      <c r="R778"/>
      <c r="S778"/>
      <c r="T778"/>
      <c r="U778"/>
      <c r="V778"/>
    </row>
    <row r="779" spans="2:22" x14ac:dyDescent="0.3">
      <c r="B779"/>
      <c r="C779" s="1"/>
      <c r="D779" s="1"/>
      <c r="E779" s="2"/>
      <c r="F779" s="1"/>
      <c r="G779" s="5"/>
      <c r="H779" s="5"/>
      <c r="I779" s="1"/>
      <c r="J779" s="1"/>
      <c r="K779" s="1"/>
      <c r="L779" s="1"/>
      <c r="M779" s="1"/>
      <c r="N779" s="1"/>
      <c r="O779"/>
      <c r="Q779"/>
      <c r="R779"/>
      <c r="S779"/>
      <c r="T779"/>
      <c r="U779"/>
      <c r="V779"/>
    </row>
    <row r="780" spans="2:22" x14ac:dyDescent="0.3">
      <c r="B780"/>
      <c r="C780" s="1"/>
      <c r="D780" s="1"/>
      <c r="E780" s="2"/>
      <c r="F780" s="1"/>
      <c r="G780" s="5"/>
      <c r="H780" s="5"/>
      <c r="I780" s="1"/>
      <c r="J780" s="1"/>
      <c r="K780" s="1"/>
      <c r="L780" s="1"/>
      <c r="M780" s="1"/>
      <c r="N780" s="1"/>
      <c r="O780"/>
      <c r="Q780"/>
      <c r="R780"/>
      <c r="S780"/>
      <c r="T780"/>
      <c r="U780"/>
      <c r="V780"/>
    </row>
    <row r="781" spans="2:22" x14ac:dyDescent="0.3">
      <c r="B781"/>
      <c r="C781" s="1"/>
      <c r="D781" s="1"/>
      <c r="E781" s="2"/>
      <c r="F781" s="1"/>
      <c r="G781" s="5"/>
      <c r="H781" s="5"/>
      <c r="I781" s="1"/>
      <c r="J781" s="1"/>
      <c r="K781" s="1"/>
      <c r="L781" s="1"/>
      <c r="M781" s="1"/>
      <c r="N781" s="1"/>
      <c r="O781"/>
      <c r="Q781"/>
      <c r="R781"/>
      <c r="S781"/>
      <c r="T781"/>
      <c r="U781"/>
      <c r="V781"/>
    </row>
    <row r="782" spans="2:22" x14ac:dyDescent="0.3">
      <c r="B782"/>
      <c r="C782" s="1"/>
      <c r="D782" s="1"/>
      <c r="E782" s="2"/>
      <c r="F782" s="1"/>
      <c r="G782" s="5"/>
      <c r="H782" s="5"/>
      <c r="I782" s="1"/>
      <c r="J782" s="1"/>
      <c r="K782" s="1"/>
      <c r="L782" s="1"/>
      <c r="M782" s="1"/>
      <c r="N782" s="1"/>
      <c r="O782"/>
      <c r="Q782"/>
      <c r="R782"/>
      <c r="S782"/>
      <c r="T782"/>
      <c r="U782"/>
      <c r="V782"/>
    </row>
    <row r="783" spans="2:22" x14ac:dyDescent="0.3">
      <c r="B783"/>
      <c r="C783" s="1"/>
      <c r="D783" s="1"/>
      <c r="E783" s="2"/>
      <c r="F783" s="1"/>
      <c r="G783" s="5"/>
      <c r="H783" s="5"/>
      <c r="I783" s="1"/>
      <c r="J783" s="1"/>
      <c r="K783" s="1"/>
      <c r="L783" s="1"/>
      <c r="M783" s="1"/>
      <c r="N783" s="1"/>
      <c r="O783"/>
      <c r="Q783"/>
      <c r="R783"/>
      <c r="S783"/>
      <c r="T783"/>
      <c r="U783"/>
      <c r="V783"/>
    </row>
    <row r="784" spans="2:22" x14ac:dyDescent="0.3">
      <c r="B784"/>
      <c r="C784" s="1"/>
      <c r="D784" s="1"/>
      <c r="E784" s="2"/>
      <c r="F784" s="1"/>
      <c r="G784" s="5"/>
      <c r="H784" s="5"/>
      <c r="I784" s="1"/>
      <c r="J784" s="1"/>
      <c r="K784" s="1"/>
      <c r="L784" s="1"/>
      <c r="M784" s="1"/>
      <c r="N784" s="1"/>
      <c r="O784"/>
      <c r="Q784"/>
      <c r="R784"/>
      <c r="S784"/>
      <c r="T784"/>
      <c r="U784"/>
      <c r="V784"/>
    </row>
    <row r="785" spans="2:22" x14ac:dyDescent="0.3">
      <c r="B785"/>
      <c r="C785" s="1"/>
      <c r="D785" s="1"/>
      <c r="E785" s="2"/>
      <c r="F785" s="1"/>
      <c r="G785" s="5"/>
      <c r="H785" s="5"/>
      <c r="I785" s="1"/>
      <c r="J785" s="1"/>
      <c r="K785" s="1"/>
      <c r="L785" s="1"/>
      <c r="M785" s="1"/>
      <c r="N785" s="1"/>
      <c r="O785"/>
      <c r="Q785"/>
      <c r="R785"/>
      <c r="S785"/>
      <c r="T785"/>
      <c r="U785"/>
      <c r="V785"/>
    </row>
    <row r="786" spans="2:22" x14ac:dyDescent="0.3">
      <c r="B786"/>
      <c r="C786" s="1"/>
      <c r="D786" s="1"/>
      <c r="E786" s="2"/>
      <c r="F786" s="1"/>
      <c r="G786" s="5"/>
      <c r="H786" s="5"/>
      <c r="I786" s="1"/>
      <c r="J786" s="1"/>
      <c r="K786" s="1"/>
      <c r="L786" s="1"/>
      <c r="M786" s="1"/>
      <c r="N786" s="1"/>
      <c r="O786"/>
      <c r="Q786"/>
      <c r="R786"/>
      <c r="S786"/>
      <c r="T786"/>
      <c r="U786"/>
      <c r="V786"/>
    </row>
    <row r="787" spans="2:22" x14ac:dyDescent="0.3">
      <c r="B787"/>
      <c r="C787" s="1"/>
      <c r="D787" s="1"/>
      <c r="E787" s="2"/>
      <c r="F787" s="1"/>
      <c r="G787" s="5"/>
      <c r="H787" s="5"/>
      <c r="I787" s="1"/>
      <c r="J787" s="1"/>
      <c r="K787" s="1"/>
      <c r="L787" s="1"/>
      <c r="M787" s="1"/>
      <c r="N787" s="1"/>
      <c r="O787"/>
      <c r="Q787"/>
      <c r="R787"/>
      <c r="S787"/>
      <c r="T787"/>
      <c r="U787"/>
      <c r="V787"/>
    </row>
    <row r="788" spans="2:22" x14ac:dyDescent="0.3">
      <c r="B788"/>
      <c r="C788" s="1"/>
      <c r="D788" s="1"/>
      <c r="E788" s="2"/>
      <c r="F788" s="1"/>
      <c r="G788" s="5"/>
      <c r="H788" s="5"/>
      <c r="I788" s="1"/>
      <c r="J788" s="1"/>
      <c r="K788" s="1"/>
      <c r="L788" s="1"/>
      <c r="M788" s="1"/>
      <c r="N788" s="1"/>
      <c r="O788"/>
      <c r="Q788"/>
      <c r="R788"/>
      <c r="S788"/>
      <c r="T788"/>
      <c r="U788"/>
      <c r="V788"/>
    </row>
    <row r="789" spans="2:22" x14ac:dyDescent="0.3">
      <c r="B789"/>
      <c r="C789" s="1"/>
      <c r="D789" s="1"/>
      <c r="E789" s="2"/>
      <c r="F789" s="1"/>
      <c r="G789" s="5"/>
      <c r="H789" s="5"/>
      <c r="I789" s="1"/>
      <c r="J789" s="1"/>
      <c r="K789" s="1"/>
      <c r="L789" s="1"/>
      <c r="M789" s="1"/>
      <c r="N789" s="1"/>
      <c r="O789"/>
      <c r="Q789"/>
      <c r="R789"/>
      <c r="S789"/>
      <c r="T789"/>
      <c r="U789"/>
      <c r="V789"/>
    </row>
    <row r="790" spans="2:22" x14ac:dyDescent="0.3">
      <c r="B790"/>
      <c r="C790" s="1"/>
      <c r="D790" s="1"/>
      <c r="E790" s="2"/>
      <c r="F790" s="1"/>
      <c r="G790" s="5"/>
      <c r="H790" s="5"/>
      <c r="I790" s="1"/>
      <c r="J790" s="1"/>
      <c r="K790" s="1"/>
      <c r="L790" s="1"/>
      <c r="M790" s="1"/>
      <c r="N790" s="1"/>
      <c r="O790"/>
      <c r="Q790"/>
      <c r="R790"/>
      <c r="S790"/>
      <c r="T790"/>
      <c r="U790"/>
      <c r="V790"/>
    </row>
    <row r="791" spans="2:22" x14ac:dyDescent="0.3">
      <c r="B791"/>
      <c r="C791" s="1"/>
      <c r="D791" s="1"/>
      <c r="E791" s="2"/>
      <c r="F791" s="1"/>
      <c r="G791" s="5"/>
      <c r="H791" s="5"/>
      <c r="I791" s="1"/>
      <c r="J791" s="1"/>
      <c r="K791" s="1"/>
      <c r="L791" s="1"/>
      <c r="M791" s="1"/>
      <c r="N791" s="1"/>
      <c r="O791"/>
      <c r="Q791"/>
      <c r="R791"/>
      <c r="S791"/>
      <c r="T791"/>
      <c r="U791"/>
      <c r="V791"/>
    </row>
    <row r="792" spans="2:22" x14ac:dyDescent="0.3">
      <c r="B792"/>
      <c r="C792" s="1"/>
      <c r="D792" s="1"/>
      <c r="E792" s="2"/>
      <c r="F792" s="1"/>
      <c r="G792" s="5"/>
      <c r="H792" s="5"/>
      <c r="I792" s="1"/>
      <c r="J792" s="1"/>
      <c r="K792" s="1"/>
      <c r="L792" s="1"/>
      <c r="M792" s="1"/>
      <c r="N792" s="1"/>
      <c r="O792"/>
      <c r="Q792"/>
      <c r="R792"/>
      <c r="S792"/>
      <c r="T792"/>
      <c r="U792"/>
      <c r="V792"/>
    </row>
    <row r="793" spans="2:22" x14ac:dyDescent="0.3">
      <c r="B793"/>
      <c r="C793" s="1"/>
      <c r="D793" s="1"/>
      <c r="E793" s="2"/>
      <c r="F793" s="1"/>
      <c r="G793" s="5"/>
      <c r="H793" s="5"/>
      <c r="I793" s="1"/>
      <c r="J793" s="1"/>
      <c r="K793" s="1"/>
      <c r="L793" s="1"/>
      <c r="M793" s="1"/>
      <c r="N793" s="1"/>
      <c r="O793"/>
      <c r="Q793"/>
      <c r="R793"/>
      <c r="S793"/>
      <c r="T793"/>
      <c r="U793"/>
      <c r="V793"/>
    </row>
    <row r="794" spans="2:22" x14ac:dyDescent="0.3">
      <c r="B794"/>
      <c r="C794" s="1"/>
      <c r="D794" s="1"/>
      <c r="E794" s="2"/>
      <c r="F794" s="1"/>
      <c r="G794" s="5"/>
      <c r="H794" s="5"/>
      <c r="I794" s="1"/>
      <c r="J794" s="1"/>
      <c r="K794" s="1"/>
      <c r="L794" s="1"/>
      <c r="M794" s="1"/>
      <c r="N794" s="1"/>
      <c r="O794"/>
      <c r="Q794"/>
      <c r="R794"/>
      <c r="S794"/>
      <c r="T794"/>
      <c r="U794"/>
      <c r="V794"/>
    </row>
    <row r="795" spans="2:22" x14ac:dyDescent="0.3">
      <c r="B795"/>
      <c r="C795" s="1"/>
      <c r="D795" s="1"/>
      <c r="E795" s="2"/>
      <c r="F795" s="1"/>
      <c r="G795" s="5"/>
      <c r="H795" s="5"/>
      <c r="I795" s="1"/>
      <c r="J795" s="1"/>
      <c r="K795" s="1"/>
      <c r="L795" s="1"/>
      <c r="M795" s="1"/>
      <c r="N795" s="1"/>
      <c r="O795"/>
      <c r="Q795"/>
      <c r="R795"/>
      <c r="S795"/>
      <c r="T795"/>
      <c r="U795"/>
      <c r="V795"/>
    </row>
    <row r="796" spans="2:22" x14ac:dyDescent="0.3">
      <c r="B796"/>
      <c r="C796" s="1"/>
      <c r="D796" s="1"/>
      <c r="E796" s="2"/>
      <c r="F796" s="1"/>
      <c r="G796" s="5"/>
      <c r="H796" s="5"/>
      <c r="I796" s="1"/>
      <c r="J796" s="1"/>
      <c r="K796" s="1"/>
      <c r="L796" s="1"/>
      <c r="M796" s="1"/>
      <c r="N796" s="1"/>
      <c r="O796"/>
      <c r="Q796"/>
      <c r="R796"/>
      <c r="S796"/>
      <c r="T796"/>
      <c r="U796"/>
      <c r="V796"/>
    </row>
    <row r="797" spans="2:22" x14ac:dyDescent="0.3">
      <c r="B797"/>
      <c r="C797" s="1"/>
      <c r="D797" s="1"/>
      <c r="E797" s="2"/>
      <c r="F797" s="1"/>
      <c r="G797" s="5"/>
      <c r="H797" s="5"/>
      <c r="I797" s="1"/>
      <c r="J797" s="1"/>
      <c r="K797" s="1"/>
      <c r="L797" s="1"/>
      <c r="M797" s="1"/>
      <c r="N797" s="1"/>
      <c r="O797"/>
      <c r="Q797"/>
      <c r="R797"/>
      <c r="S797"/>
      <c r="T797"/>
      <c r="U797"/>
      <c r="V797"/>
    </row>
    <row r="798" spans="2:22" x14ac:dyDescent="0.3">
      <c r="B798"/>
      <c r="C798" s="1"/>
      <c r="D798" s="1"/>
      <c r="E798" s="2"/>
      <c r="F798" s="1"/>
      <c r="G798" s="5"/>
      <c r="H798" s="5"/>
      <c r="I798" s="1"/>
      <c r="J798" s="1"/>
      <c r="K798" s="1"/>
      <c r="L798" s="1"/>
      <c r="M798" s="1"/>
      <c r="N798" s="1"/>
      <c r="O798"/>
      <c r="Q798"/>
      <c r="R798"/>
      <c r="S798"/>
      <c r="T798"/>
      <c r="U798"/>
      <c r="V798"/>
    </row>
    <row r="799" spans="2:22" x14ac:dyDescent="0.3">
      <c r="B799"/>
      <c r="C799" s="1"/>
      <c r="D799" s="1"/>
      <c r="E799" s="2"/>
      <c r="F799" s="1"/>
      <c r="G799" s="5"/>
      <c r="H799" s="5"/>
      <c r="I799" s="1"/>
      <c r="J799" s="1"/>
      <c r="K799" s="1"/>
      <c r="L799" s="1"/>
      <c r="M799" s="1"/>
      <c r="N799" s="1"/>
      <c r="O799"/>
      <c r="Q799"/>
      <c r="R799"/>
      <c r="S799"/>
      <c r="T799"/>
      <c r="U799"/>
      <c r="V799"/>
    </row>
    <row r="800" spans="2:22" x14ac:dyDescent="0.3">
      <c r="B800"/>
      <c r="C800" s="1"/>
      <c r="D800" s="1"/>
      <c r="E800" s="2"/>
      <c r="F800" s="1"/>
      <c r="G800" s="5"/>
      <c r="H800" s="5"/>
      <c r="I800" s="1"/>
      <c r="J800" s="1"/>
      <c r="K800" s="1"/>
      <c r="L800" s="1"/>
      <c r="M800" s="1"/>
      <c r="N800" s="1"/>
      <c r="O800"/>
      <c r="Q800"/>
      <c r="R800"/>
      <c r="S800"/>
      <c r="T800"/>
      <c r="U800"/>
      <c r="V800"/>
    </row>
    <row r="801" spans="2:22" x14ac:dyDescent="0.3">
      <c r="B801"/>
      <c r="C801" s="1"/>
      <c r="D801" s="1"/>
      <c r="E801" s="2"/>
      <c r="F801" s="1"/>
      <c r="G801" s="5"/>
      <c r="H801" s="5"/>
      <c r="I801" s="1"/>
      <c r="J801" s="1"/>
      <c r="K801" s="1"/>
      <c r="L801" s="1"/>
      <c r="M801" s="1"/>
      <c r="N801" s="1"/>
      <c r="O801"/>
      <c r="Q801"/>
      <c r="R801"/>
      <c r="S801"/>
      <c r="T801"/>
      <c r="U801"/>
      <c r="V801"/>
    </row>
    <row r="802" spans="2:22" x14ac:dyDescent="0.3">
      <c r="B802"/>
      <c r="C802" s="1"/>
      <c r="D802" s="1"/>
      <c r="E802" s="2"/>
      <c r="F802" s="1"/>
      <c r="G802" s="5"/>
      <c r="H802" s="5"/>
      <c r="I802" s="1"/>
      <c r="J802" s="1"/>
      <c r="K802" s="1"/>
      <c r="L802" s="1"/>
      <c r="M802" s="1"/>
      <c r="N802" s="1"/>
      <c r="O802"/>
      <c r="Q802"/>
      <c r="R802"/>
      <c r="S802"/>
      <c r="T802"/>
      <c r="U802"/>
      <c r="V802"/>
    </row>
    <row r="803" spans="2:22" x14ac:dyDescent="0.3">
      <c r="B803"/>
      <c r="C803" s="1"/>
      <c r="D803" s="1"/>
      <c r="E803" s="2"/>
      <c r="F803" s="1"/>
      <c r="G803" s="5"/>
      <c r="H803" s="5"/>
      <c r="I803" s="1"/>
      <c r="J803" s="1"/>
      <c r="K803" s="1"/>
      <c r="L803" s="1"/>
      <c r="M803" s="1"/>
      <c r="N803" s="1"/>
      <c r="O803"/>
      <c r="Q803"/>
      <c r="R803"/>
      <c r="S803"/>
      <c r="T803"/>
      <c r="U803"/>
      <c r="V803"/>
    </row>
    <row r="804" spans="2:22" x14ac:dyDescent="0.3">
      <c r="B804"/>
      <c r="C804" s="1"/>
      <c r="D804" s="1"/>
      <c r="E804" s="2"/>
      <c r="F804" s="1"/>
      <c r="G804" s="5"/>
      <c r="H804" s="5"/>
      <c r="I804" s="1"/>
      <c r="J804" s="1"/>
      <c r="K804" s="1"/>
      <c r="L804" s="1"/>
      <c r="M804" s="1"/>
      <c r="N804" s="1"/>
      <c r="O804"/>
      <c r="Q804"/>
      <c r="R804"/>
      <c r="S804"/>
      <c r="T804"/>
      <c r="U804"/>
      <c r="V804"/>
    </row>
    <row r="805" spans="2:22" x14ac:dyDescent="0.3">
      <c r="B805"/>
      <c r="C805" s="1"/>
      <c r="D805" s="1"/>
      <c r="E805" s="2"/>
      <c r="F805" s="1"/>
      <c r="G805" s="5"/>
      <c r="H805" s="5"/>
      <c r="I805" s="1"/>
      <c r="J805" s="1"/>
      <c r="K805" s="1"/>
      <c r="L805" s="1"/>
      <c r="M805" s="1"/>
      <c r="N805" s="1"/>
      <c r="O805"/>
      <c r="Q805"/>
      <c r="R805"/>
      <c r="S805"/>
      <c r="T805"/>
      <c r="U805"/>
      <c r="V805"/>
    </row>
    <row r="806" spans="2:22" x14ac:dyDescent="0.3">
      <c r="B806"/>
      <c r="C806" s="1"/>
      <c r="D806" s="1"/>
      <c r="E806" s="2"/>
      <c r="F806" s="1"/>
      <c r="G806" s="5"/>
      <c r="H806" s="5"/>
      <c r="I806" s="1"/>
      <c r="J806" s="1"/>
      <c r="K806" s="1"/>
      <c r="L806" s="1"/>
      <c r="M806" s="1"/>
      <c r="N806" s="1"/>
      <c r="O806"/>
      <c r="Q806"/>
      <c r="R806"/>
      <c r="S806"/>
      <c r="T806"/>
      <c r="U806"/>
      <c r="V806"/>
    </row>
    <row r="807" spans="2:22" x14ac:dyDescent="0.3">
      <c r="B807"/>
      <c r="C807" s="1"/>
      <c r="D807" s="1"/>
      <c r="E807" s="2"/>
      <c r="F807" s="1"/>
      <c r="G807" s="5"/>
      <c r="H807" s="5"/>
      <c r="I807" s="1"/>
      <c r="J807" s="1"/>
      <c r="K807" s="1"/>
      <c r="L807" s="1"/>
      <c r="M807" s="1"/>
      <c r="N807" s="1"/>
      <c r="O807"/>
      <c r="Q807"/>
      <c r="R807"/>
      <c r="S807"/>
      <c r="T807"/>
      <c r="U807"/>
      <c r="V807"/>
    </row>
    <row r="808" spans="2:22" x14ac:dyDescent="0.3">
      <c r="B808"/>
      <c r="C808" s="1"/>
      <c r="D808" s="1"/>
      <c r="E808" s="2"/>
      <c r="F808" s="1"/>
      <c r="G808" s="5"/>
      <c r="H808" s="5"/>
      <c r="I808" s="1"/>
      <c r="J808" s="1"/>
      <c r="K808" s="1"/>
      <c r="L808" s="1"/>
      <c r="M808" s="1"/>
      <c r="N808" s="1"/>
      <c r="O808"/>
      <c r="Q808"/>
      <c r="R808"/>
      <c r="S808"/>
      <c r="T808"/>
      <c r="U808"/>
      <c r="V808"/>
    </row>
    <row r="809" spans="2:22" x14ac:dyDescent="0.3">
      <c r="B809"/>
      <c r="C809" s="1"/>
      <c r="D809" s="1"/>
      <c r="E809" s="2"/>
      <c r="F809" s="1"/>
      <c r="G809" s="5"/>
      <c r="H809" s="5"/>
      <c r="I809" s="1"/>
      <c r="J809" s="1"/>
      <c r="K809" s="1"/>
      <c r="L809" s="1"/>
      <c r="M809" s="1"/>
      <c r="N809" s="1"/>
      <c r="O809"/>
      <c r="Q809"/>
      <c r="R809"/>
      <c r="S809"/>
      <c r="T809"/>
      <c r="U809"/>
      <c r="V809"/>
    </row>
    <row r="810" spans="2:22" x14ac:dyDescent="0.3">
      <c r="B810"/>
      <c r="C810" s="1"/>
      <c r="D810" s="1"/>
      <c r="E810" s="2"/>
      <c r="F810" s="1"/>
      <c r="G810" s="5"/>
      <c r="H810" s="5"/>
      <c r="I810" s="1"/>
      <c r="J810" s="1"/>
      <c r="K810" s="1"/>
      <c r="L810" s="1"/>
      <c r="M810" s="1"/>
      <c r="N810" s="1"/>
      <c r="O810"/>
      <c r="Q810"/>
      <c r="R810"/>
      <c r="S810"/>
      <c r="T810"/>
      <c r="U810"/>
      <c r="V810"/>
    </row>
    <row r="811" spans="2:22" x14ac:dyDescent="0.3">
      <c r="B811"/>
      <c r="C811" s="1"/>
      <c r="D811" s="1"/>
      <c r="E811" s="2"/>
      <c r="F811" s="1"/>
      <c r="G811" s="5"/>
      <c r="H811" s="5"/>
      <c r="I811" s="1"/>
      <c r="J811" s="1"/>
      <c r="K811" s="1"/>
      <c r="L811" s="1"/>
      <c r="M811" s="1"/>
      <c r="N811" s="1"/>
      <c r="O811"/>
      <c r="Q811"/>
      <c r="R811"/>
      <c r="S811"/>
      <c r="T811"/>
      <c r="U811"/>
      <c r="V811"/>
    </row>
    <row r="812" spans="2:22" x14ac:dyDescent="0.3">
      <c r="B812"/>
      <c r="C812" s="1"/>
      <c r="D812" s="1"/>
      <c r="E812" s="2"/>
      <c r="F812" s="1"/>
      <c r="G812" s="5"/>
      <c r="H812" s="5"/>
      <c r="I812" s="1"/>
      <c r="J812" s="1"/>
      <c r="K812" s="1"/>
      <c r="L812" s="1"/>
      <c r="M812" s="1"/>
      <c r="N812" s="1"/>
      <c r="O812"/>
      <c r="Q812"/>
      <c r="R812"/>
      <c r="S812"/>
      <c r="T812"/>
      <c r="U812"/>
      <c r="V812"/>
    </row>
    <row r="813" spans="2:22" x14ac:dyDescent="0.3">
      <c r="B813"/>
      <c r="C813" s="1"/>
      <c r="D813" s="1"/>
      <c r="E813" s="2"/>
      <c r="F813" s="1"/>
      <c r="G813" s="5"/>
      <c r="H813" s="5"/>
      <c r="I813" s="1"/>
      <c r="J813" s="1"/>
      <c r="K813" s="1"/>
      <c r="L813" s="1"/>
      <c r="M813" s="1"/>
      <c r="N813" s="1"/>
      <c r="O813"/>
      <c r="Q813"/>
      <c r="R813"/>
      <c r="S813"/>
      <c r="T813"/>
      <c r="U813"/>
      <c r="V813"/>
    </row>
    <row r="814" spans="2:22" x14ac:dyDescent="0.3">
      <c r="B814"/>
      <c r="C814" s="1"/>
      <c r="D814" s="1"/>
      <c r="E814" s="2"/>
      <c r="F814" s="1"/>
      <c r="G814" s="5"/>
      <c r="H814" s="5"/>
      <c r="I814" s="1"/>
      <c r="J814" s="1"/>
      <c r="K814" s="1"/>
      <c r="L814" s="1"/>
      <c r="M814" s="1"/>
      <c r="N814" s="1"/>
      <c r="O814"/>
      <c r="Q814"/>
      <c r="R814"/>
      <c r="S814"/>
      <c r="T814"/>
      <c r="U814"/>
      <c r="V814"/>
    </row>
    <row r="815" spans="2:22" x14ac:dyDescent="0.3">
      <c r="B815"/>
      <c r="C815" s="1"/>
      <c r="D815" s="1"/>
      <c r="E815" s="2"/>
      <c r="F815" s="1"/>
      <c r="G815" s="5"/>
      <c r="H815" s="5"/>
      <c r="I815" s="1"/>
      <c r="J815" s="1"/>
      <c r="K815" s="1"/>
      <c r="L815" s="1"/>
      <c r="M815" s="1"/>
      <c r="N815" s="1"/>
      <c r="O815"/>
      <c r="Q815"/>
      <c r="R815"/>
      <c r="S815"/>
      <c r="T815"/>
      <c r="U815"/>
      <c r="V815"/>
    </row>
    <row r="816" spans="2:22" x14ac:dyDescent="0.3">
      <c r="B816"/>
      <c r="C816" s="1"/>
      <c r="D816" s="1"/>
      <c r="E816" s="2"/>
      <c r="F816" s="1"/>
      <c r="G816" s="5"/>
      <c r="H816" s="5"/>
      <c r="I816" s="1"/>
      <c r="J816" s="1"/>
      <c r="K816" s="1"/>
      <c r="L816" s="1"/>
      <c r="M816" s="1"/>
      <c r="N816" s="1"/>
      <c r="O816"/>
      <c r="Q816"/>
      <c r="R816"/>
      <c r="S816"/>
      <c r="T816"/>
      <c r="U816"/>
      <c r="V816"/>
    </row>
    <row r="817" spans="2:22" x14ac:dyDescent="0.3">
      <c r="B817"/>
      <c r="C817" s="1"/>
      <c r="D817" s="1"/>
      <c r="E817" s="2"/>
      <c r="F817" s="1"/>
      <c r="G817" s="5"/>
      <c r="H817" s="5"/>
      <c r="I817" s="1"/>
      <c r="J817" s="1"/>
      <c r="K817" s="1"/>
      <c r="L817" s="1"/>
      <c r="M817" s="1"/>
      <c r="N817" s="1"/>
      <c r="O817"/>
      <c r="Q817"/>
      <c r="R817"/>
      <c r="S817"/>
      <c r="T817"/>
      <c r="U817"/>
      <c r="V817"/>
    </row>
    <row r="818" spans="2:22" x14ac:dyDescent="0.3">
      <c r="B818"/>
      <c r="C818" s="1"/>
      <c r="D818" s="1"/>
      <c r="E818" s="2"/>
      <c r="F818" s="1"/>
      <c r="G818" s="5"/>
      <c r="H818" s="5"/>
      <c r="I818" s="1"/>
      <c r="J818" s="1"/>
      <c r="K818" s="1"/>
      <c r="L818" s="1"/>
      <c r="M818" s="1"/>
      <c r="N818" s="1"/>
      <c r="O818"/>
      <c r="Q818"/>
      <c r="R818"/>
      <c r="S818"/>
      <c r="T818"/>
      <c r="U818"/>
      <c r="V818"/>
    </row>
    <row r="819" spans="2:22" x14ac:dyDescent="0.3">
      <c r="B819"/>
      <c r="C819" s="1"/>
      <c r="D819" s="1"/>
      <c r="E819" s="2"/>
      <c r="F819" s="1"/>
      <c r="G819" s="5"/>
      <c r="H819" s="5"/>
      <c r="I819" s="1"/>
      <c r="J819" s="1"/>
      <c r="K819" s="1"/>
      <c r="L819" s="1"/>
      <c r="M819" s="1"/>
      <c r="N819" s="1"/>
      <c r="O819"/>
      <c r="Q819"/>
      <c r="R819"/>
      <c r="S819"/>
      <c r="T819"/>
      <c r="U819"/>
      <c r="V819"/>
    </row>
    <row r="820" spans="2:22" x14ac:dyDescent="0.3">
      <c r="B820"/>
      <c r="C820" s="1"/>
      <c r="D820" s="1"/>
      <c r="E820" s="2"/>
      <c r="F820" s="1"/>
      <c r="G820" s="5"/>
      <c r="H820" s="5"/>
      <c r="I820" s="1"/>
      <c r="J820" s="1"/>
      <c r="K820" s="1"/>
      <c r="L820" s="1"/>
      <c r="M820" s="1"/>
      <c r="N820" s="1"/>
      <c r="O820"/>
      <c r="Q820"/>
      <c r="R820"/>
      <c r="S820"/>
      <c r="T820"/>
      <c r="U820"/>
      <c r="V820"/>
    </row>
    <row r="821" spans="2:22" x14ac:dyDescent="0.3">
      <c r="B821"/>
      <c r="C821" s="1"/>
      <c r="D821" s="1"/>
      <c r="E821" s="2"/>
      <c r="F821" s="1"/>
      <c r="G821" s="5"/>
      <c r="H821" s="5"/>
      <c r="I821" s="1"/>
      <c r="J821" s="1"/>
      <c r="K821" s="1"/>
      <c r="L821" s="1"/>
      <c r="M821" s="1"/>
      <c r="N821" s="1"/>
      <c r="O821"/>
      <c r="Q821"/>
      <c r="R821"/>
      <c r="S821"/>
      <c r="T821"/>
      <c r="U821"/>
      <c r="V821"/>
    </row>
    <row r="822" spans="2:22" x14ac:dyDescent="0.3">
      <c r="B822"/>
      <c r="C822" s="1"/>
      <c r="D822" s="1"/>
      <c r="E822" s="2"/>
      <c r="F822" s="1"/>
      <c r="G822" s="5"/>
      <c r="H822" s="5"/>
      <c r="I822" s="1"/>
      <c r="J822" s="1"/>
      <c r="K822" s="1"/>
      <c r="L822" s="1"/>
      <c r="M822" s="1"/>
      <c r="N822" s="1"/>
      <c r="O822"/>
      <c r="Q822"/>
      <c r="R822"/>
      <c r="S822"/>
      <c r="T822"/>
      <c r="U822"/>
      <c r="V822"/>
    </row>
    <row r="823" spans="2:22" x14ac:dyDescent="0.3">
      <c r="B823"/>
      <c r="C823" s="1"/>
      <c r="D823" s="1"/>
      <c r="E823" s="2"/>
      <c r="F823" s="1"/>
      <c r="G823" s="5"/>
      <c r="H823" s="5"/>
      <c r="I823" s="1"/>
      <c r="J823" s="1"/>
      <c r="K823" s="1"/>
      <c r="L823" s="1"/>
      <c r="M823" s="1"/>
      <c r="N823" s="1"/>
      <c r="O823"/>
      <c r="Q823"/>
      <c r="R823"/>
      <c r="S823"/>
      <c r="T823"/>
      <c r="U823"/>
      <c r="V823"/>
    </row>
    <row r="824" spans="2:22" x14ac:dyDescent="0.3">
      <c r="B824"/>
      <c r="C824" s="1"/>
      <c r="D824" s="1"/>
      <c r="E824" s="2"/>
      <c r="F824" s="1"/>
      <c r="G824" s="5"/>
      <c r="H824" s="5"/>
      <c r="I824" s="1"/>
      <c r="J824" s="1"/>
      <c r="K824" s="1"/>
      <c r="L824" s="1"/>
      <c r="M824" s="1"/>
      <c r="N824" s="1"/>
      <c r="O824"/>
      <c r="Q824"/>
      <c r="R824"/>
      <c r="S824"/>
      <c r="T824"/>
      <c r="U824"/>
      <c r="V824"/>
    </row>
    <row r="825" spans="2:22" x14ac:dyDescent="0.3">
      <c r="B825"/>
      <c r="C825" s="1"/>
      <c r="D825" s="1"/>
      <c r="E825" s="2"/>
      <c r="F825" s="1"/>
      <c r="G825" s="5"/>
      <c r="H825" s="5"/>
      <c r="I825" s="1"/>
      <c r="J825" s="1"/>
      <c r="K825" s="1"/>
      <c r="L825" s="1"/>
      <c r="M825" s="1"/>
      <c r="N825" s="1"/>
      <c r="O825"/>
      <c r="Q825"/>
      <c r="R825"/>
      <c r="S825"/>
      <c r="T825"/>
      <c r="U825"/>
      <c r="V825"/>
    </row>
    <row r="826" spans="2:22" x14ac:dyDescent="0.3">
      <c r="B826"/>
      <c r="C826" s="1"/>
      <c r="D826" s="1"/>
      <c r="E826" s="2"/>
      <c r="F826" s="1"/>
      <c r="G826" s="5"/>
      <c r="H826" s="5"/>
      <c r="I826" s="1"/>
      <c r="J826" s="1"/>
      <c r="K826" s="1"/>
      <c r="L826" s="1"/>
      <c r="M826" s="1"/>
      <c r="N826" s="1"/>
      <c r="O826"/>
      <c r="Q826"/>
      <c r="R826"/>
      <c r="S826"/>
      <c r="T826"/>
      <c r="U826"/>
      <c r="V826"/>
    </row>
    <row r="827" spans="2:22" x14ac:dyDescent="0.3">
      <c r="B827"/>
      <c r="C827" s="1"/>
      <c r="D827" s="1"/>
      <c r="E827" s="2"/>
      <c r="F827" s="1"/>
      <c r="G827" s="5"/>
      <c r="H827" s="5"/>
      <c r="I827" s="1"/>
      <c r="J827" s="1"/>
      <c r="K827" s="1"/>
      <c r="L827" s="1"/>
      <c r="M827" s="1"/>
      <c r="N827" s="1"/>
      <c r="O827"/>
      <c r="Q827"/>
      <c r="R827"/>
      <c r="S827"/>
      <c r="T827"/>
      <c r="U827"/>
      <c r="V827"/>
    </row>
    <row r="828" spans="2:22" x14ac:dyDescent="0.3">
      <c r="B828"/>
      <c r="C828" s="1"/>
      <c r="D828" s="1"/>
      <c r="E828" s="2"/>
      <c r="F828" s="1"/>
      <c r="G828" s="5"/>
      <c r="H828" s="5"/>
      <c r="I828" s="1"/>
      <c r="J828" s="1"/>
      <c r="K828" s="1"/>
      <c r="L828" s="1"/>
      <c r="M828" s="1"/>
      <c r="N828" s="1"/>
      <c r="O828"/>
      <c r="Q828"/>
      <c r="R828"/>
      <c r="S828"/>
      <c r="T828"/>
      <c r="U828"/>
      <c r="V828"/>
    </row>
    <row r="829" spans="2:22" x14ac:dyDescent="0.3">
      <c r="B829"/>
      <c r="C829" s="1"/>
      <c r="D829" s="1"/>
      <c r="E829" s="2"/>
      <c r="F829" s="1"/>
      <c r="G829" s="5"/>
      <c r="H829" s="5"/>
      <c r="I829" s="1"/>
      <c r="J829" s="1"/>
      <c r="K829" s="1"/>
      <c r="L829" s="1"/>
      <c r="M829" s="1"/>
      <c r="N829" s="1"/>
      <c r="O829"/>
      <c r="Q829"/>
      <c r="R829"/>
      <c r="S829"/>
      <c r="T829"/>
      <c r="U829"/>
      <c r="V829"/>
    </row>
    <row r="830" spans="2:22" x14ac:dyDescent="0.3">
      <c r="B830"/>
      <c r="C830" s="1"/>
      <c r="D830" s="1"/>
      <c r="E830" s="2"/>
      <c r="F830" s="1"/>
      <c r="G830" s="5"/>
      <c r="H830" s="5"/>
      <c r="I830" s="1"/>
      <c r="J830" s="1"/>
      <c r="K830" s="1"/>
      <c r="L830" s="1"/>
      <c r="M830" s="1"/>
      <c r="N830" s="1"/>
      <c r="O830"/>
      <c r="Q830"/>
      <c r="R830"/>
      <c r="S830"/>
      <c r="T830"/>
      <c r="U830"/>
      <c r="V830"/>
    </row>
    <row r="831" spans="2:22" x14ac:dyDescent="0.3">
      <c r="B831"/>
      <c r="C831" s="1"/>
      <c r="D831" s="1"/>
      <c r="E831" s="2"/>
      <c r="F831" s="1"/>
      <c r="G831" s="5"/>
      <c r="H831" s="5"/>
      <c r="I831" s="1"/>
      <c r="J831" s="1"/>
      <c r="K831" s="1"/>
      <c r="L831" s="1"/>
      <c r="M831" s="1"/>
      <c r="N831" s="1"/>
      <c r="O831"/>
      <c r="Q831"/>
      <c r="R831"/>
      <c r="S831"/>
      <c r="T831"/>
      <c r="U831"/>
      <c r="V831"/>
    </row>
    <row r="832" spans="2:22" x14ac:dyDescent="0.3">
      <c r="B832"/>
      <c r="C832" s="1"/>
      <c r="D832" s="1"/>
      <c r="E832" s="2"/>
      <c r="F832" s="1"/>
      <c r="G832" s="5"/>
      <c r="H832" s="5"/>
      <c r="I832" s="1"/>
      <c r="J832" s="1"/>
      <c r="K832" s="1"/>
      <c r="L832" s="1"/>
      <c r="M832" s="1"/>
      <c r="N832" s="1"/>
      <c r="O832"/>
      <c r="Q832"/>
      <c r="R832"/>
      <c r="S832"/>
      <c r="T832"/>
      <c r="U832"/>
      <c r="V832"/>
    </row>
    <row r="833" spans="2:22" x14ac:dyDescent="0.3">
      <c r="B833"/>
      <c r="C833" s="1"/>
      <c r="D833" s="1"/>
      <c r="E833" s="2"/>
      <c r="F833" s="1"/>
      <c r="G833" s="5"/>
      <c r="H833" s="5"/>
      <c r="I833" s="1"/>
      <c r="J833" s="1"/>
      <c r="K833" s="1"/>
      <c r="L833" s="1"/>
      <c r="M833" s="1"/>
      <c r="N833" s="1"/>
      <c r="O833"/>
      <c r="Q833"/>
      <c r="R833"/>
      <c r="S833"/>
      <c r="T833"/>
      <c r="U833"/>
      <c r="V833"/>
    </row>
    <row r="834" spans="2:22" x14ac:dyDescent="0.3">
      <c r="B834"/>
      <c r="C834" s="1"/>
      <c r="D834" s="1"/>
      <c r="E834" s="2"/>
      <c r="F834" s="1"/>
      <c r="G834" s="5"/>
      <c r="H834" s="5"/>
      <c r="I834" s="1"/>
      <c r="J834" s="1"/>
      <c r="K834" s="1"/>
      <c r="L834" s="1"/>
      <c r="M834" s="1"/>
      <c r="N834" s="1"/>
      <c r="O834"/>
      <c r="Q834"/>
      <c r="R834"/>
      <c r="S834"/>
      <c r="T834"/>
      <c r="U834"/>
      <c r="V834"/>
    </row>
    <row r="835" spans="2:22" x14ac:dyDescent="0.3">
      <c r="B835"/>
      <c r="C835" s="1"/>
      <c r="D835" s="1"/>
      <c r="E835" s="2"/>
      <c r="F835" s="1"/>
      <c r="G835" s="5"/>
      <c r="H835" s="5"/>
      <c r="I835" s="1"/>
      <c r="J835" s="1"/>
      <c r="K835" s="1"/>
      <c r="L835" s="1"/>
      <c r="M835" s="1"/>
      <c r="N835" s="1"/>
      <c r="O835"/>
      <c r="Q835"/>
      <c r="R835"/>
      <c r="S835"/>
      <c r="T835"/>
      <c r="U835"/>
      <c r="V835"/>
    </row>
    <row r="836" spans="2:22" x14ac:dyDescent="0.3">
      <c r="B836"/>
      <c r="C836" s="1"/>
      <c r="D836" s="1"/>
      <c r="E836" s="2"/>
      <c r="F836" s="1"/>
      <c r="G836" s="5"/>
      <c r="H836" s="5"/>
      <c r="I836" s="1"/>
      <c r="J836" s="1"/>
      <c r="K836" s="1"/>
      <c r="L836" s="1"/>
      <c r="M836" s="1"/>
      <c r="N836" s="1"/>
      <c r="O836"/>
      <c r="Q836"/>
      <c r="R836"/>
      <c r="S836"/>
      <c r="T836"/>
      <c r="U836"/>
      <c r="V836"/>
    </row>
    <row r="837" spans="2:22" x14ac:dyDescent="0.3">
      <c r="B837"/>
      <c r="C837" s="1"/>
      <c r="D837" s="1"/>
      <c r="E837" s="2"/>
      <c r="F837" s="1"/>
      <c r="G837" s="5"/>
      <c r="H837" s="5"/>
      <c r="I837" s="1"/>
      <c r="J837" s="1"/>
      <c r="K837" s="1"/>
      <c r="L837" s="1"/>
      <c r="M837" s="1"/>
      <c r="N837" s="1"/>
      <c r="O837"/>
      <c r="Q837"/>
      <c r="R837"/>
      <c r="S837"/>
      <c r="T837"/>
      <c r="U837"/>
      <c r="V837"/>
    </row>
    <row r="838" spans="2:22" x14ac:dyDescent="0.3">
      <c r="B838"/>
      <c r="C838" s="1"/>
      <c r="D838" s="1"/>
      <c r="E838" s="2"/>
      <c r="F838" s="1"/>
      <c r="G838" s="5"/>
      <c r="H838" s="5"/>
      <c r="I838" s="1"/>
      <c r="J838" s="1"/>
      <c r="K838" s="1"/>
      <c r="L838" s="1"/>
      <c r="M838" s="1"/>
      <c r="N838" s="1"/>
      <c r="O838"/>
      <c r="Q838"/>
      <c r="R838"/>
      <c r="S838"/>
      <c r="T838"/>
      <c r="U838"/>
      <c r="V838"/>
    </row>
    <row r="839" spans="2:22" x14ac:dyDescent="0.3">
      <c r="B839"/>
      <c r="C839" s="1"/>
      <c r="D839" s="1"/>
      <c r="E839" s="2"/>
      <c r="F839" s="1"/>
      <c r="G839" s="5"/>
      <c r="H839" s="5"/>
      <c r="I839" s="1"/>
      <c r="J839" s="1"/>
      <c r="K839" s="1"/>
      <c r="L839" s="1"/>
      <c r="M839" s="1"/>
      <c r="N839" s="1"/>
      <c r="O839"/>
      <c r="Q839"/>
      <c r="R839"/>
      <c r="S839"/>
      <c r="T839"/>
      <c r="U839"/>
      <c r="V839"/>
    </row>
    <row r="840" spans="2:22" x14ac:dyDescent="0.3">
      <c r="B840"/>
      <c r="C840" s="1"/>
      <c r="D840" s="1"/>
      <c r="E840" s="2"/>
      <c r="F840" s="1"/>
      <c r="G840" s="5"/>
      <c r="H840" s="5"/>
      <c r="I840" s="1"/>
      <c r="J840" s="1"/>
      <c r="K840" s="1"/>
      <c r="L840" s="1"/>
      <c r="M840" s="1"/>
      <c r="N840" s="1"/>
      <c r="O840"/>
      <c r="Q840"/>
      <c r="R840"/>
      <c r="S840"/>
      <c r="T840"/>
      <c r="U840"/>
      <c r="V840"/>
    </row>
    <row r="841" spans="2:22" x14ac:dyDescent="0.3">
      <c r="B841"/>
      <c r="C841" s="1"/>
      <c r="D841" s="1"/>
      <c r="E841" s="2"/>
      <c r="F841" s="1"/>
      <c r="G841" s="5"/>
      <c r="H841" s="5"/>
      <c r="I841" s="1"/>
      <c r="J841" s="1"/>
      <c r="K841" s="1"/>
      <c r="L841" s="1"/>
      <c r="M841" s="1"/>
      <c r="N841" s="1"/>
      <c r="O841"/>
      <c r="Q841"/>
      <c r="R841"/>
      <c r="S841"/>
      <c r="T841"/>
      <c r="U841"/>
      <c r="V841"/>
    </row>
    <row r="842" spans="2:22" x14ac:dyDescent="0.3">
      <c r="B842"/>
      <c r="C842" s="1"/>
      <c r="D842" s="1"/>
      <c r="E842" s="2"/>
      <c r="F842" s="1"/>
      <c r="G842" s="5"/>
      <c r="H842" s="5"/>
      <c r="I842" s="1"/>
      <c r="J842" s="1"/>
      <c r="K842" s="1"/>
      <c r="L842" s="1"/>
      <c r="M842" s="1"/>
      <c r="N842" s="1"/>
      <c r="O842"/>
      <c r="Q842"/>
      <c r="R842"/>
      <c r="S842"/>
      <c r="T842"/>
      <c r="U842"/>
      <c r="V842"/>
    </row>
    <row r="843" spans="2:22" x14ac:dyDescent="0.3">
      <c r="B843"/>
      <c r="C843" s="1"/>
      <c r="D843" s="1"/>
      <c r="E843" s="2"/>
      <c r="F843" s="1"/>
      <c r="G843" s="5"/>
      <c r="H843" s="5"/>
      <c r="I843" s="1"/>
      <c r="J843" s="1"/>
      <c r="K843" s="1"/>
      <c r="L843" s="1"/>
      <c r="M843" s="1"/>
      <c r="N843" s="1"/>
      <c r="O843"/>
      <c r="Q843"/>
      <c r="R843"/>
      <c r="S843"/>
      <c r="T843"/>
      <c r="U843"/>
      <c r="V843"/>
    </row>
    <row r="844" spans="2:22" x14ac:dyDescent="0.3">
      <c r="B844"/>
      <c r="C844" s="1"/>
      <c r="D844" s="1"/>
      <c r="E844" s="2"/>
      <c r="F844" s="1"/>
      <c r="G844" s="5"/>
      <c r="H844" s="5"/>
      <c r="I844" s="1"/>
      <c r="J844" s="1"/>
      <c r="K844" s="1"/>
      <c r="L844" s="1"/>
      <c r="M844" s="1"/>
      <c r="N844" s="1"/>
      <c r="O844"/>
      <c r="Q844"/>
      <c r="R844"/>
      <c r="S844"/>
      <c r="T844"/>
      <c r="U844"/>
      <c r="V844"/>
    </row>
    <row r="845" spans="2:22" x14ac:dyDescent="0.3">
      <c r="B845"/>
      <c r="C845" s="1"/>
      <c r="D845" s="1"/>
      <c r="E845" s="2"/>
      <c r="F845" s="1"/>
      <c r="G845" s="5"/>
      <c r="H845" s="5"/>
      <c r="I845" s="1"/>
      <c r="J845" s="1"/>
      <c r="K845" s="1"/>
      <c r="L845" s="1"/>
      <c r="M845" s="1"/>
      <c r="N845" s="1"/>
      <c r="O845"/>
      <c r="Q845"/>
      <c r="R845"/>
      <c r="S845"/>
      <c r="T845"/>
      <c r="U845"/>
      <c r="V845"/>
    </row>
    <row r="846" spans="2:22" x14ac:dyDescent="0.3">
      <c r="B846"/>
      <c r="C846" s="1"/>
      <c r="D846" s="1"/>
      <c r="E846" s="2"/>
      <c r="F846" s="1"/>
      <c r="G846" s="5"/>
      <c r="H846" s="5"/>
      <c r="I846" s="1"/>
      <c r="J846" s="1"/>
      <c r="K846" s="1"/>
      <c r="L846" s="1"/>
      <c r="M846" s="1"/>
      <c r="N846" s="1"/>
      <c r="O846"/>
      <c r="Q846"/>
      <c r="R846"/>
      <c r="S846"/>
      <c r="T846"/>
      <c r="U846"/>
      <c r="V846"/>
    </row>
    <row r="847" spans="2:22" x14ac:dyDescent="0.3">
      <c r="B847"/>
      <c r="C847" s="1"/>
      <c r="D847" s="1"/>
      <c r="E847" s="2"/>
      <c r="F847" s="1"/>
      <c r="G847" s="5"/>
      <c r="H847" s="5"/>
      <c r="I847" s="1"/>
      <c r="J847" s="1"/>
      <c r="K847" s="1"/>
      <c r="L847" s="1"/>
      <c r="M847" s="1"/>
      <c r="N847" s="1"/>
      <c r="O847"/>
      <c r="Q847"/>
      <c r="R847"/>
      <c r="S847"/>
      <c r="T847"/>
      <c r="U847"/>
      <c r="V847"/>
    </row>
    <row r="848" spans="2:22" x14ac:dyDescent="0.3">
      <c r="B848"/>
      <c r="C848" s="1"/>
      <c r="D848" s="1"/>
      <c r="E848" s="2"/>
      <c r="F848" s="1"/>
      <c r="G848" s="5"/>
      <c r="H848" s="5"/>
      <c r="I848" s="1"/>
      <c r="J848" s="1"/>
      <c r="K848" s="1"/>
      <c r="L848" s="1"/>
      <c r="M848" s="1"/>
      <c r="N848" s="1"/>
      <c r="O848"/>
      <c r="Q848"/>
      <c r="R848"/>
      <c r="S848"/>
      <c r="T848"/>
      <c r="U848"/>
      <c r="V848"/>
    </row>
    <row r="849" spans="2:22" x14ac:dyDescent="0.3">
      <c r="B849"/>
      <c r="C849" s="1"/>
      <c r="D849" s="1"/>
      <c r="E849" s="2"/>
      <c r="F849" s="1"/>
      <c r="G849" s="5"/>
      <c r="H849" s="5"/>
      <c r="I849" s="1"/>
      <c r="J849" s="1"/>
      <c r="K849" s="1"/>
      <c r="L849" s="1"/>
      <c r="M849" s="1"/>
      <c r="N849" s="1"/>
      <c r="O849"/>
      <c r="Q849"/>
      <c r="R849"/>
      <c r="S849"/>
      <c r="T849"/>
      <c r="U849"/>
      <c r="V849"/>
    </row>
    <row r="850" spans="2:22" x14ac:dyDescent="0.3">
      <c r="B850"/>
      <c r="C850" s="1"/>
      <c r="D850" s="1"/>
      <c r="E850" s="2"/>
      <c r="F850" s="1"/>
      <c r="G850" s="5"/>
      <c r="H850" s="5"/>
      <c r="I850" s="1"/>
      <c r="J850" s="1"/>
      <c r="K850" s="1"/>
      <c r="L850" s="1"/>
      <c r="M850" s="1"/>
      <c r="N850" s="1"/>
      <c r="O850"/>
      <c r="Q850"/>
      <c r="R850"/>
      <c r="S850"/>
      <c r="T850"/>
      <c r="U850"/>
      <c r="V850"/>
    </row>
    <row r="851" spans="2:22" x14ac:dyDescent="0.3">
      <c r="B851"/>
      <c r="C851" s="1"/>
      <c r="D851" s="1"/>
      <c r="E851" s="2"/>
      <c r="F851" s="1"/>
      <c r="G851" s="5"/>
      <c r="H851" s="5"/>
      <c r="I851" s="1"/>
      <c r="J851" s="1"/>
      <c r="K851" s="1"/>
      <c r="L851" s="1"/>
      <c r="M851" s="1"/>
      <c r="N851" s="1"/>
      <c r="O851"/>
      <c r="Q851"/>
      <c r="R851"/>
      <c r="S851"/>
      <c r="T851"/>
      <c r="U851"/>
      <c r="V851"/>
    </row>
    <row r="852" spans="2:22" x14ac:dyDescent="0.3">
      <c r="B852"/>
      <c r="C852" s="1"/>
      <c r="D852" s="1"/>
      <c r="E852" s="2"/>
      <c r="F852" s="1"/>
      <c r="G852" s="5"/>
      <c r="H852" s="5"/>
      <c r="I852" s="1"/>
      <c r="J852" s="1"/>
      <c r="K852" s="1"/>
      <c r="L852" s="1"/>
      <c r="M852" s="1"/>
      <c r="N852" s="1"/>
      <c r="O852"/>
      <c r="Q852"/>
      <c r="R852"/>
      <c r="S852"/>
      <c r="T852"/>
      <c r="U852"/>
      <c r="V852"/>
    </row>
    <row r="853" spans="2:22" x14ac:dyDescent="0.3">
      <c r="B853"/>
      <c r="C853" s="1"/>
      <c r="D853" s="1"/>
      <c r="E853" s="2"/>
      <c r="F853" s="1"/>
      <c r="G853" s="5"/>
      <c r="H853" s="5"/>
      <c r="I853" s="1"/>
      <c r="J853" s="1"/>
      <c r="K853" s="1"/>
      <c r="L853" s="1"/>
      <c r="M853" s="1"/>
      <c r="N853" s="1"/>
      <c r="O853"/>
      <c r="Q853"/>
      <c r="R853"/>
      <c r="S853"/>
      <c r="T853"/>
      <c r="U853"/>
      <c r="V853"/>
    </row>
    <row r="854" spans="2:22" x14ac:dyDescent="0.3">
      <c r="B854"/>
      <c r="C854" s="1"/>
      <c r="D854" s="1"/>
      <c r="E854" s="2"/>
      <c r="F854" s="1"/>
      <c r="G854" s="5"/>
      <c r="H854" s="5"/>
      <c r="I854" s="1"/>
      <c r="J854" s="1"/>
      <c r="K854" s="1"/>
      <c r="L854" s="1"/>
      <c r="M854" s="1"/>
      <c r="N854" s="1"/>
      <c r="O854"/>
      <c r="Q854"/>
      <c r="R854"/>
      <c r="S854"/>
      <c r="T854"/>
      <c r="U854"/>
      <c r="V854"/>
    </row>
    <row r="855" spans="2:22" x14ac:dyDescent="0.3">
      <c r="B855"/>
      <c r="C855" s="1"/>
      <c r="D855" s="1"/>
      <c r="E855" s="2"/>
      <c r="F855" s="1"/>
      <c r="G855" s="5"/>
      <c r="H855" s="5"/>
      <c r="I855" s="1"/>
      <c r="J855" s="1"/>
      <c r="K855" s="1"/>
      <c r="L855" s="1"/>
      <c r="M855" s="1"/>
      <c r="N855" s="1"/>
      <c r="O855"/>
      <c r="Q855"/>
      <c r="R855"/>
      <c r="S855"/>
      <c r="T855"/>
      <c r="U855"/>
      <c r="V855"/>
    </row>
    <row r="856" spans="2:22" x14ac:dyDescent="0.3">
      <c r="B856"/>
      <c r="C856" s="1"/>
      <c r="D856" s="1"/>
      <c r="E856" s="2"/>
      <c r="F856" s="1"/>
      <c r="G856" s="5"/>
      <c r="H856" s="5"/>
      <c r="I856" s="1"/>
      <c r="J856" s="1"/>
      <c r="K856" s="1"/>
      <c r="L856" s="1"/>
      <c r="M856" s="1"/>
      <c r="N856" s="1"/>
      <c r="O856"/>
      <c r="Q856"/>
      <c r="R856"/>
      <c r="S856"/>
      <c r="T856"/>
      <c r="U856"/>
      <c r="V856"/>
    </row>
    <row r="857" spans="2:22" x14ac:dyDescent="0.3">
      <c r="B857"/>
      <c r="C857" s="1"/>
      <c r="D857" s="1"/>
      <c r="E857" s="2"/>
      <c r="F857" s="1"/>
      <c r="G857" s="5"/>
      <c r="H857" s="5"/>
      <c r="I857" s="1"/>
      <c r="J857" s="1"/>
      <c r="K857" s="1"/>
      <c r="L857" s="1"/>
      <c r="M857" s="1"/>
      <c r="N857" s="1"/>
      <c r="O857"/>
      <c r="Q857"/>
      <c r="R857"/>
      <c r="S857"/>
      <c r="T857"/>
      <c r="U857"/>
      <c r="V857"/>
    </row>
    <row r="858" spans="2:22" x14ac:dyDescent="0.3">
      <c r="B858"/>
      <c r="C858" s="1"/>
      <c r="D858" s="1"/>
      <c r="E858" s="2"/>
      <c r="F858" s="1"/>
      <c r="G858" s="5"/>
      <c r="H858" s="5"/>
      <c r="I858" s="1"/>
      <c r="J858" s="1"/>
      <c r="K858" s="1"/>
      <c r="L858" s="1"/>
      <c r="M858" s="1"/>
      <c r="N858" s="1"/>
      <c r="O858"/>
      <c r="Q858"/>
      <c r="R858"/>
      <c r="S858"/>
      <c r="T858"/>
      <c r="U858"/>
      <c r="V858"/>
    </row>
    <row r="859" spans="2:22" x14ac:dyDescent="0.3">
      <c r="B859"/>
      <c r="C859" s="1"/>
      <c r="D859" s="1"/>
      <c r="E859" s="2"/>
      <c r="F859" s="1"/>
      <c r="G859" s="5"/>
      <c r="H859" s="5"/>
      <c r="I859" s="1"/>
      <c r="J859" s="1"/>
      <c r="K859" s="1"/>
      <c r="L859" s="1"/>
      <c r="M859" s="1"/>
      <c r="N859" s="1"/>
      <c r="O859"/>
      <c r="Q859"/>
      <c r="R859"/>
      <c r="S859"/>
      <c r="T859"/>
      <c r="U859"/>
      <c r="V859"/>
    </row>
    <row r="860" spans="2:22" x14ac:dyDescent="0.3">
      <c r="B860"/>
      <c r="C860" s="1"/>
      <c r="D860" s="1"/>
      <c r="E860" s="2"/>
      <c r="F860" s="1"/>
      <c r="G860" s="5"/>
      <c r="H860" s="5"/>
      <c r="I860" s="1"/>
      <c r="J860" s="1"/>
      <c r="K860" s="1"/>
      <c r="L860" s="1"/>
      <c r="M860" s="1"/>
      <c r="N860" s="1"/>
      <c r="O860"/>
      <c r="Q860"/>
      <c r="R860"/>
      <c r="S860"/>
      <c r="T860"/>
      <c r="U860"/>
      <c r="V860"/>
    </row>
    <row r="861" spans="2:22" x14ac:dyDescent="0.3">
      <c r="B861"/>
      <c r="C861" s="1"/>
      <c r="D861" s="1"/>
      <c r="E861" s="2"/>
      <c r="F861" s="1"/>
      <c r="G861" s="5"/>
      <c r="H861" s="5"/>
      <c r="I861" s="1"/>
      <c r="J861" s="1"/>
      <c r="K861" s="1"/>
      <c r="L861" s="1"/>
      <c r="M861" s="1"/>
      <c r="N861" s="1"/>
      <c r="O861"/>
      <c r="Q861"/>
      <c r="R861"/>
      <c r="S861"/>
      <c r="T861"/>
      <c r="U861"/>
      <c r="V861"/>
    </row>
    <row r="862" spans="2:22" x14ac:dyDescent="0.3">
      <c r="B862"/>
      <c r="C862" s="1"/>
      <c r="D862" s="1"/>
      <c r="E862" s="2"/>
      <c r="F862" s="1"/>
      <c r="G862" s="5"/>
      <c r="H862" s="5"/>
      <c r="I862" s="1"/>
      <c r="J862" s="1"/>
      <c r="K862" s="1"/>
      <c r="L862" s="1"/>
      <c r="M862" s="1"/>
      <c r="N862" s="1"/>
      <c r="O862"/>
      <c r="Q862"/>
      <c r="R862"/>
      <c r="S862"/>
      <c r="T862"/>
      <c r="U862"/>
      <c r="V862"/>
    </row>
    <row r="863" spans="2:22" x14ac:dyDescent="0.3">
      <c r="B863"/>
      <c r="C863" s="1"/>
      <c r="D863" s="1"/>
      <c r="E863" s="2"/>
      <c r="F863" s="1"/>
      <c r="G863" s="5"/>
      <c r="H863" s="5"/>
      <c r="I863" s="1"/>
      <c r="J863" s="1"/>
      <c r="K863" s="1"/>
      <c r="L863" s="1"/>
      <c r="M863" s="1"/>
      <c r="N863" s="1"/>
      <c r="O863"/>
      <c r="Q863"/>
      <c r="R863"/>
      <c r="S863"/>
      <c r="T863"/>
      <c r="U863"/>
      <c r="V863"/>
    </row>
    <row r="864" spans="2:22" x14ac:dyDescent="0.3">
      <c r="B864"/>
      <c r="C864" s="1"/>
      <c r="D864" s="1"/>
      <c r="E864" s="2"/>
      <c r="F864" s="1"/>
      <c r="G864" s="5"/>
      <c r="H864" s="5"/>
      <c r="I864" s="1"/>
      <c r="J864" s="1"/>
      <c r="K864" s="1"/>
      <c r="L864" s="1"/>
      <c r="M864" s="1"/>
      <c r="N864" s="1"/>
      <c r="O864"/>
      <c r="Q864"/>
      <c r="R864"/>
      <c r="S864"/>
      <c r="T864"/>
      <c r="U864"/>
      <c r="V864"/>
    </row>
    <row r="865" spans="2:22" x14ac:dyDescent="0.3">
      <c r="B865"/>
      <c r="C865" s="1"/>
      <c r="D865" s="1"/>
      <c r="E865" s="2"/>
      <c r="F865" s="1"/>
      <c r="G865" s="5"/>
      <c r="H865" s="5"/>
      <c r="I865" s="1"/>
      <c r="J865" s="1"/>
      <c r="K865" s="1"/>
      <c r="L865" s="1"/>
      <c r="M865" s="1"/>
      <c r="N865" s="1"/>
      <c r="O865"/>
      <c r="Q865"/>
      <c r="R865"/>
      <c r="S865"/>
      <c r="T865"/>
      <c r="U865"/>
      <c r="V865"/>
    </row>
    <row r="866" spans="2:22" x14ac:dyDescent="0.3">
      <c r="B866"/>
      <c r="C866" s="1"/>
      <c r="D866" s="1"/>
      <c r="E866" s="2"/>
      <c r="F866" s="1"/>
      <c r="G866" s="5"/>
      <c r="H866" s="5"/>
      <c r="I866" s="1"/>
      <c r="J866" s="1"/>
      <c r="K866" s="1"/>
      <c r="L866" s="1"/>
      <c r="M866" s="1"/>
      <c r="N866" s="1"/>
      <c r="O866"/>
      <c r="Q866"/>
      <c r="R866"/>
      <c r="S866"/>
      <c r="T866"/>
      <c r="U866"/>
      <c r="V866"/>
    </row>
    <row r="867" spans="2:22" x14ac:dyDescent="0.3">
      <c r="B867"/>
      <c r="C867" s="1"/>
      <c r="D867" s="1"/>
      <c r="E867" s="2"/>
      <c r="F867" s="1"/>
      <c r="G867" s="5"/>
      <c r="H867" s="5"/>
      <c r="I867" s="1"/>
      <c r="J867" s="1"/>
      <c r="K867" s="1"/>
      <c r="L867" s="1"/>
      <c r="M867" s="1"/>
      <c r="N867" s="1"/>
      <c r="O867"/>
      <c r="Q867"/>
      <c r="R867"/>
      <c r="S867"/>
      <c r="T867"/>
      <c r="U867"/>
      <c r="V867"/>
    </row>
    <row r="868" spans="2:22" x14ac:dyDescent="0.3">
      <c r="B868"/>
      <c r="C868" s="1"/>
      <c r="D868" s="1"/>
      <c r="E868" s="2"/>
      <c r="F868" s="1"/>
      <c r="G868" s="5"/>
      <c r="H868" s="5"/>
      <c r="I868" s="1"/>
      <c r="J868" s="1"/>
      <c r="K868" s="1"/>
      <c r="L868" s="1"/>
      <c r="M868" s="1"/>
      <c r="N868" s="1"/>
      <c r="O868"/>
      <c r="Q868"/>
      <c r="R868"/>
      <c r="S868"/>
      <c r="T868"/>
      <c r="U868"/>
      <c r="V868"/>
    </row>
    <row r="869" spans="2:22" x14ac:dyDescent="0.3">
      <c r="B869"/>
      <c r="C869" s="1"/>
      <c r="D869" s="1"/>
      <c r="E869" s="2"/>
      <c r="F869" s="1"/>
      <c r="G869" s="5"/>
      <c r="H869" s="5"/>
      <c r="I869" s="1"/>
      <c r="J869" s="1"/>
      <c r="K869" s="1"/>
      <c r="L869" s="1"/>
      <c r="M869" s="1"/>
      <c r="N869" s="1"/>
      <c r="O869"/>
      <c r="Q869"/>
      <c r="R869"/>
      <c r="S869"/>
      <c r="T869"/>
      <c r="U869"/>
      <c r="V869"/>
    </row>
    <row r="870" spans="2:22" x14ac:dyDescent="0.3">
      <c r="B870"/>
      <c r="C870" s="1"/>
      <c r="D870" s="1"/>
      <c r="E870" s="2"/>
      <c r="F870" s="1"/>
      <c r="G870" s="5"/>
      <c r="H870" s="5"/>
      <c r="I870" s="1"/>
      <c r="J870" s="1"/>
      <c r="K870" s="1"/>
      <c r="L870" s="1"/>
      <c r="M870" s="1"/>
      <c r="N870" s="1"/>
      <c r="O870"/>
      <c r="Q870"/>
      <c r="R870"/>
      <c r="S870"/>
      <c r="T870"/>
      <c r="U870"/>
      <c r="V870"/>
    </row>
    <row r="871" spans="2:22" x14ac:dyDescent="0.3">
      <c r="B871"/>
      <c r="C871" s="1"/>
      <c r="D871" s="1"/>
      <c r="E871" s="2"/>
      <c r="F871" s="1"/>
      <c r="G871" s="5"/>
      <c r="H871" s="5"/>
      <c r="I871" s="1"/>
      <c r="J871" s="1"/>
      <c r="K871" s="1"/>
      <c r="L871" s="1"/>
      <c r="M871" s="1"/>
      <c r="N871" s="1"/>
      <c r="O871"/>
      <c r="Q871"/>
      <c r="R871"/>
      <c r="S871"/>
      <c r="T871"/>
      <c r="U871"/>
      <c r="V871"/>
    </row>
    <row r="872" spans="2:22" x14ac:dyDescent="0.3">
      <c r="B872"/>
      <c r="C872" s="1"/>
      <c r="D872" s="1"/>
      <c r="E872" s="2"/>
      <c r="F872" s="1"/>
      <c r="G872" s="5"/>
      <c r="H872" s="5"/>
      <c r="I872" s="1"/>
      <c r="J872" s="1"/>
      <c r="K872" s="1"/>
      <c r="L872" s="1"/>
      <c r="M872" s="1"/>
      <c r="N872" s="1"/>
      <c r="O872"/>
      <c r="Q872"/>
      <c r="R872"/>
      <c r="S872"/>
      <c r="T872"/>
      <c r="U872"/>
      <c r="V872"/>
    </row>
    <row r="873" spans="2:22" x14ac:dyDescent="0.3">
      <c r="B873"/>
      <c r="C873" s="1"/>
      <c r="D873" s="1"/>
      <c r="E873" s="2"/>
      <c r="F873" s="1"/>
      <c r="G873" s="5"/>
      <c r="H873" s="5"/>
      <c r="I873" s="1"/>
      <c r="J873" s="1"/>
      <c r="K873" s="1"/>
      <c r="L873" s="1"/>
      <c r="M873" s="1"/>
      <c r="N873" s="1"/>
      <c r="O873"/>
      <c r="Q873"/>
      <c r="R873"/>
      <c r="S873"/>
      <c r="T873"/>
      <c r="U873"/>
      <c r="V873"/>
    </row>
    <row r="874" spans="2:22" x14ac:dyDescent="0.3">
      <c r="B874"/>
      <c r="C874" s="1"/>
      <c r="D874" s="1"/>
      <c r="E874" s="2"/>
      <c r="F874" s="1"/>
      <c r="G874" s="5"/>
      <c r="H874" s="5"/>
      <c r="I874" s="1"/>
      <c r="J874" s="1"/>
      <c r="K874" s="1"/>
      <c r="L874" s="1"/>
      <c r="M874" s="1"/>
      <c r="N874" s="1"/>
      <c r="O874"/>
      <c r="Q874"/>
      <c r="R874"/>
      <c r="S874"/>
      <c r="T874"/>
      <c r="U874"/>
      <c r="V874"/>
    </row>
    <row r="875" spans="2:22" x14ac:dyDescent="0.3">
      <c r="B875"/>
      <c r="C875" s="1"/>
      <c r="D875" s="1"/>
      <c r="E875" s="2"/>
      <c r="F875" s="1"/>
      <c r="G875" s="5"/>
      <c r="H875" s="5"/>
      <c r="I875" s="1"/>
      <c r="J875" s="1"/>
      <c r="K875" s="1"/>
      <c r="L875" s="1"/>
      <c r="M875" s="1"/>
      <c r="N875" s="1"/>
      <c r="O875"/>
      <c r="Q875"/>
      <c r="R875"/>
      <c r="S875"/>
      <c r="T875"/>
      <c r="U875"/>
      <c r="V875"/>
    </row>
    <row r="876" spans="2:22" x14ac:dyDescent="0.3">
      <c r="B876"/>
      <c r="C876" s="1"/>
      <c r="D876" s="1"/>
      <c r="E876" s="2"/>
      <c r="F876" s="1"/>
      <c r="G876" s="5"/>
      <c r="H876" s="5"/>
      <c r="I876" s="1"/>
      <c r="J876" s="1"/>
      <c r="K876" s="1"/>
      <c r="L876" s="1"/>
      <c r="M876" s="1"/>
      <c r="N876" s="1"/>
      <c r="O876"/>
      <c r="Q876"/>
      <c r="R876"/>
      <c r="S876"/>
      <c r="T876"/>
      <c r="U876"/>
      <c r="V876"/>
    </row>
    <row r="877" spans="2:22" x14ac:dyDescent="0.3">
      <c r="B877"/>
      <c r="C877" s="1"/>
      <c r="D877" s="1"/>
      <c r="E877" s="2"/>
      <c r="F877" s="1"/>
      <c r="G877" s="5"/>
      <c r="H877" s="5"/>
      <c r="I877" s="1"/>
      <c r="J877" s="1"/>
      <c r="K877" s="1"/>
      <c r="L877" s="1"/>
      <c r="M877" s="1"/>
      <c r="N877" s="1"/>
      <c r="O877"/>
      <c r="Q877"/>
      <c r="R877"/>
      <c r="S877"/>
      <c r="T877"/>
      <c r="U877"/>
      <c r="V877"/>
    </row>
    <row r="878" spans="2:22" ht="15.6" customHeight="1" x14ac:dyDescent="0.3">
      <c r="B878"/>
      <c r="C878" s="1"/>
      <c r="D878" s="1"/>
      <c r="E878" s="2"/>
      <c r="F878" s="1"/>
      <c r="G878" s="5"/>
      <c r="H878" s="5"/>
      <c r="I878" s="1"/>
      <c r="J878" s="1"/>
      <c r="K878" s="1"/>
      <c r="L878" s="1"/>
      <c r="M878" s="1"/>
      <c r="N878" s="1"/>
      <c r="O878"/>
      <c r="Q878"/>
      <c r="R878"/>
      <c r="S878"/>
      <c r="T878"/>
      <c r="U878"/>
      <c r="V878"/>
    </row>
    <row r="879" spans="2:22" x14ac:dyDescent="0.3">
      <c r="B879"/>
      <c r="C879" s="1"/>
      <c r="E879" s="2"/>
      <c r="F879" s="1"/>
      <c r="G879" s="5"/>
      <c r="H879" s="5"/>
      <c r="I879" s="1"/>
      <c r="J879" s="1"/>
      <c r="K879" s="1"/>
      <c r="L879" s="1"/>
      <c r="M879" s="1"/>
      <c r="N879" s="1"/>
      <c r="O879"/>
      <c r="Q879"/>
      <c r="R879"/>
      <c r="S879"/>
      <c r="T879"/>
      <c r="U879"/>
      <c r="V879"/>
    </row>
    <row r="1048576" spans="8:8" x14ac:dyDescent="0.3">
      <c r="H1048576" s="11">
        <f>SUM(H2:H1048575)</f>
        <v>10504672</v>
      </c>
    </row>
  </sheetData>
  <conditionalFormatting sqref="S880:S1048576 I2:I451">
    <cfRule type="iconSet" priority="1">
      <iconSet iconSet="3Symbols" showValue="0">
        <cfvo type="percent" val="0"/>
        <cfvo type="percent" val="&quot;Partial&quot;"/>
        <cfvo type="percent" val="&quot;Paid&quot;"/>
      </iconSet>
    </cfRule>
  </conditionalFormatting>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739C9-ED99-48B7-A9BA-8666ECC5CF35}">
  <sheetPr codeName="Sheet2"/>
  <dimension ref="A1:R43"/>
  <sheetViews>
    <sheetView tabSelected="1" zoomScaleNormal="100" workbookViewId="0">
      <selection activeCell="B8" sqref="B8"/>
    </sheetView>
  </sheetViews>
  <sheetFormatPr defaultRowHeight="14.4" x14ac:dyDescent="0.3"/>
  <cols>
    <col min="2" max="2" width="20.6640625" customWidth="1"/>
    <col min="3" max="3" width="19.77734375" bestFit="1" customWidth="1"/>
    <col min="4" max="4" width="14.77734375" customWidth="1"/>
    <col min="5" max="5" width="12.5546875" bestFit="1" customWidth="1"/>
    <col min="13" max="13" width="10.77734375" customWidth="1"/>
    <col min="14" max="14" width="20.109375" customWidth="1"/>
    <col min="15" max="15" width="24.109375" customWidth="1"/>
  </cols>
  <sheetData>
    <row r="1" spans="1:18" s="31" customFormat="1" ht="27" customHeight="1" x14ac:dyDescent="0.4">
      <c r="A1" s="31" t="s">
        <v>81</v>
      </c>
    </row>
    <row r="2" spans="1:18" s="6" customFormat="1" ht="18.600000000000001" customHeight="1" x14ac:dyDescent="0.3">
      <c r="A2" s="18"/>
      <c r="B2" s="18"/>
      <c r="C2" s="18"/>
      <c r="D2" s="18"/>
      <c r="E2" s="18"/>
      <c r="F2" s="18"/>
      <c r="G2" s="18"/>
      <c r="H2" s="18"/>
      <c r="I2" s="18"/>
      <c r="J2" s="18"/>
      <c r="K2" s="18"/>
      <c r="L2" s="18"/>
      <c r="M2" s="18"/>
      <c r="N2" s="18"/>
      <c r="O2" s="18"/>
      <c r="P2" s="18"/>
      <c r="Q2" s="18"/>
    </row>
    <row r="3" spans="1:18" s="6" customFormat="1" ht="15.6" x14ac:dyDescent="0.3">
      <c r="A3" s="18"/>
      <c r="B3" s="18"/>
      <c r="C3" s="18"/>
      <c r="D3" s="18"/>
      <c r="E3" s="19"/>
      <c r="F3" s="19"/>
      <c r="G3" s="19"/>
      <c r="H3" s="18"/>
      <c r="I3" s="18"/>
      <c r="J3" s="18"/>
      <c r="K3" s="18"/>
      <c r="L3" s="18"/>
      <c r="M3" s="18"/>
      <c r="N3" s="18"/>
      <c r="O3" s="18"/>
      <c r="P3" s="18"/>
      <c r="Q3" s="18"/>
    </row>
    <row r="4" spans="1:18" x14ac:dyDescent="0.3">
      <c r="A4" s="32" t="s">
        <v>99</v>
      </c>
      <c r="B4" s="33"/>
      <c r="C4" s="33"/>
      <c r="E4" s="32" t="s">
        <v>100</v>
      </c>
      <c r="F4" s="34"/>
      <c r="G4" s="34"/>
      <c r="H4" s="34"/>
      <c r="I4" s="34"/>
      <c r="J4" s="34"/>
      <c r="K4" s="34"/>
      <c r="L4" s="34"/>
      <c r="N4" s="32" t="s">
        <v>101</v>
      </c>
      <c r="O4" s="32"/>
      <c r="P4" s="32"/>
    </row>
    <row r="5" spans="1:18" x14ac:dyDescent="0.3">
      <c r="A5" s="33"/>
      <c r="B5" s="33"/>
      <c r="C5" s="33"/>
      <c r="D5" s="19"/>
      <c r="E5" s="34"/>
      <c r="F5" s="34"/>
      <c r="G5" s="34"/>
      <c r="H5" s="34"/>
      <c r="I5" s="34"/>
      <c r="J5" s="34"/>
      <c r="K5" s="34"/>
      <c r="L5" s="34"/>
      <c r="M5" s="19"/>
      <c r="N5" s="32"/>
      <c r="O5" s="32"/>
      <c r="P5" s="32"/>
    </row>
    <row r="6" spans="1:18" x14ac:dyDescent="0.3">
      <c r="A6" s="19"/>
      <c r="D6" s="19"/>
      <c r="M6" s="19"/>
      <c r="P6" s="19"/>
      <c r="Q6" s="19"/>
      <c r="R6" s="19"/>
    </row>
    <row r="7" spans="1:18" x14ac:dyDescent="0.3">
      <c r="A7" s="19"/>
      <c r="D7" s="19"/>
      <c r="M7" s="19"/>
      <c r="N7" s="20" t="s">
        <v>88</v>
      </c>
      <c r="O7" s="21" t="s">
        <v>90</v>
      </c>
      <c r="P7" s="19"/>
      <c r="Q7" s="19"/>
      <c r="R7" s="19"/>
    </row>
    <row r="8" spans="1:18" ht="15.6" x14ac:dyDescent="0.3">
      <c r="A8" s="19"/>
      <c r="B8" s="7" t="s">
        <v>110</v>
      </c>
      <c r="C8" s="7" t="s">
        <v>87</v>
      </c>
      <c r="D8" s="19"/>
      <c r="M8" s="19"/>
      <c r="N8" s="22" t="s">
        <v>19</v>
      </c>
      <c r="O8" s="23">
        <v>1981484</v>
      </c>
      <c r="P8" s="19"/>
      <c r="Q8" s="19"/>
      <c r="R8" s="19"/>
    </row>
    <row r="9" spans="1:18" ht="15.6" x14ac:dyDescent="0.3">
      <c r="A9" s="19"/>
      <c r="B9" s="8" t="s">
        <v>2</v>
      </c>
      <c r="C9" s="9" t="str">
        <f>VLOOKUP($B$8, tblbills[], ROW()-7, FALSE)</f>
        <v>Brakes</v>
      </c>
      <c r="D9" s="19"/>
      <c r="M9" s="19"/>
      <c r="N9" s="24" t="s">
        <v>92</v>
      </c>
      <c r="O9" s="23">
        <v>1261096</v>
      </c>
      <c r="P9" s="19"/>
      <c r="Q9" s="19"/>
      <c r="R9" s="19"/>
    </row>
    <row r="10" spans="1:18" ht="15.6" x14ac:dyDescent="0.3">
      <c r="A10" s="19"/>
      <c r="B10" s="8" t="s">
        <v>82</v>
      </c>
      <c r="C10" s="9" t="str">
        <f>VLOOKUP($B$8, tblbills[], ROW()-7, FALSE)</f>
        <v>Brake Pad</v>
      </c>
      <c r="D10" s="19"/>
      <c r="M10" s="19"/>
      <c r="N10" s="24" t="s">
        <v>93</v>
      </c>
      <c r="O10" s="23">
        <v>720388</v>
      </c>
      <c r="P10" s="19"/>
      <c r="Q10" s="19"/>
      <c r="R10" s="19"/>
    </row>
    <row r="11" spans="1:18" ht="15.6" x14ac:dyDescent="0.3">
      <c r="A11" s="19"/>
      <c r="B11" s="8" t="s">
        <v>83</v>
      </c>
      <c r="C11" s="9" t="str">
        <f>VLOOKUP($B$8, tblbills[], ROW()-7, FALSE)</f>
        <v>Local Vendor</v>
      </c>
      <c r="D11" s="19"/>
      <c r="M11" s="19"/>
      <c r="N11" s="22" t="s">
        <v>12</v>
      </c>
      <c r="O11" s="23">
        <v>2001412</v>
      </c>
      <c r="P11" s="19"/>
      <c r="Q11" s="19"/>
      <c r="R11" s="19"/>
    </row>
    <row r="12" spans="1:18" ht="15.6" x14ac:dyDescent="0.3">
      <c r="A12" s="19"/>
      <c r="B12" s="8" t="s">
        <v>0</v>
      </c>
      <c r="C12" s="10">
        <f>VLOOKUP($B$8, tblbills[], ROW()-7, FALSE)</f>
        <v>45697</v>
      </c>
      <c r="D12" s="19"/>
      <c r="M12" s="19"/>
      <c r="N12" s="24" t="s">
        <v>92</v>
      </c>
      <c r="O12" s="23">
        <v>1350867</v>
      </c>
      <c r="P12" s="19"/>
      <c r="Q12" s="19"/>
      <c r="R12" s="19"/>
    </row>
    <row r="13" spans="1:18" ht="15.6" x14ac:dyDescent="0.3">
      <c r="A13" s="19"/>
      <c r="B13" s="8" t="s">
        <v>5</v>
      </c>
      <c r="C13" s="9">
        <f>VLOOKUP($B$8, tblbills[], ROW()-7, FALSE)</f>
        <v>14</v>
      </c>
      <c r="D13" s="19"/>
      <c r="M13" s="19"/>
      <c r="N13" s="24" t="s">
        <v>93</v>
      </c>
      <c r="O13" s="23">
        <v>650545</v>
      </c>
      <c r="P13" s="19"/>
      <c r="Q13" s="19"/>
      <c r="R13" s="19"/>
    </row>
    <row r="14" spans="1:18" ht="15.6" x14ac:dyDescent="0.3">
      <c r="A14" s="19"/>
      <c r="B14" s="8" t="s">
        <v>84</v>
      </c>
      <c r="C14" s="9">
        <f>VLOOKUP($B$8, tblbills[], ROW()-7, FALSE)</f>
        <v>1855</v>
      </c>
      <c r="D14" s="19"/>
      <c r="M14" s="19"/>
      <c r="N14" s="22" t="s">
        <v>53</v>
      </c>
      <c r="O14" s="23">
        <v>1869338</v>
      </c>
      <c r="P14" s="19"/>
      <c r="Q14" s="19"/>
      <c r="R14" s="19"/>
    </row>
    <row r="15" spans="1:18" ht="15.6" x14ac:dyDescent="0.3">
      <c r="A15" s="19"/>
      <c r="B15" s="8" t="s">
        <v>85</v>
      </c>
      <c r="C15" s="9">
        <f>VLOOKUP($B$8, tblbills[], ROW()-7, FALSE)</f>
        <v>25970</v>
      </c>
      <c r="D15" s="19"/>
      <c r="M15" s="19"/>
      <c r="N15" s="24" t="s">
        <v>92</v>
      </c>
      <c r="O15" s="23">
        <v>1389421</v>
      </c>
      <c r="P15" s="19"/>
      <c r="Q15" s="19"/>
      <c r="R15" s="19"/>
    </row>
    <row r="16" spans="1:18" ht="15.6" x14ac:dyDescent="0.3">
      <c r="A16" s="19"/>
      <c r="B16" s="8" t="s">
        <v>86</v>
      </c>
      <c r="C16" s="9" t="str">
        <f>VLOOKUP($B$8, tblbills[], ROW()-7, FALSE)</f>
        <v>Pending</v>
      </c>
      <c r="D16" s="19"/>
      <c r="M16" s="19"/>
      <c r="N16" s="24" t="s">
        <v>93</v>
      </c>
      <c r="O16" s="23">
        <v>479917</v>
      </c>
      <c r="P16" s="19"/>
      <c r="Q16" s="19"/>
      <c r="R16" s="19"/>
    </row>
    <row r="17" spans="1:18" x14ac:dyDescent="0.3">
      <c r="A17" s="19"/>
      <c r="D17" s="19"/>
      <c r="M17" s="19"/>
      <c r="N17" s="22" t="s">
        <v>37</v>
      </c>
      <c r="O17" s="23">
        <v>2348471</v>
      </c>
      <c r="P17" s="19"/>
      <c r="Q17" s="19"/>
      <c r="R17" s="19"/>
    </row>
    <row r="18" spans="1:18" x14ac:dyDescent="0.3">
      <c r="A18" s="19"/>
      <c r="D18" s="19"/>
      <c r="M18" s="19"/>
      <c r="N18" s="24" t="s">
        <v>92</v>
      </c>
      <c r="O18" s="23">
        <v>1707053</v>
      </c>
      <c r="P18" s="19"/>
      <c r="Q18" s="19"/>
      <c r="R18" s="19"/>
    </row>
    <row r="19" spans="1:18" ht="20.399999999999999" customHeight="1" x14ac:dyDescent="0.3">
      <c r="A19" s="19"/>
      <c r="B19" s="20" t="s">
        <v>88</v>
      </c>
      <c r="C19" s="21" t="s">
        <v>90</v>
      </c>
      <c r="D19" s="19"/>
      <c r="M19" s="19"/>
      <c r="N19" s="24" t="s">
        <v>93</v>
      </c>
      <c r="O19" s="23">
        <v>641418</v>
      </c>
      <c r="P19" s="19"/>
      <c r="Q19" s="19"/>
      <c r="R19" s="19"/>
    </row>
    <row r="20" spans="1:18" ht="19.2" customHeight="1" x14ac:dyDescent="0.3">
      <c r="A20" s="19"/>
      <c r="B20" s="22" t="s">
        <v>19</v>
      </c>
      <c r="C20" s="23">
        <v>1981484</v>
      </c>
      <c r="D20" s="19"/>
      <c r="M20" s="19"/>
      <c r="N20" s="22" t="s">
        <v>41</v>
      </c>
      <c r="O20" s="23">
        <v>2303967</v>
      </c>
      <c r="P20" s="19"/>
      <c r="Q20" s="19"/>
      <c r="R20" s="19"/>
    </row>
    <row r="21" spans="1:18" ht="19.2" customHeight="1" x14ac:dyDescent="0.3">
      <c r="A21" s="19"/>
      <c r="B21" s="22" t="s">
        <v>12</v>
      </c>
      <c r="C21" s="23">
        <v>2001412</v>
      </c>
      <c r="D21" s="19"/>
      <c r="M21" s="19"/>
      <c r="N21" s="24" t="s">
        <v>92</v>
      </c>
      <c r="O21" s="23">
        <v>1448503</v>
      </c>
      <c r="P21" s="19"/>
      <c r="Q21" s="19"/>
      <c r="R21" s="19"/>
    </row>
    <row r="22" spans="1:18" ht="16.2" customHeight="1" x14ac:dyDescent="0.3">
      <c r="A22" s="19"/>
      <c r="B22" s="22" t="s">
        <v>53</v>
      </c>
      <c r="C22" s="23">
        <v>1869338</v>
      </c>
      <c r="D22" s="19"/>
      <c r="M22" s="19"/>
      <c r="N22" s="24" t="s">
        <v>93</v>
      </c>
      <c r="O22" s="23">
        <v>855464</v>
      </c>
      <c r="P22" s="19"/>
      <c r="Q22" s="19"/>
      <c r="R22" s="19"/>
    </row>
    <row r="23" spans="1:18" ht="15.6" customHeight="1" x14ac:dyDescent="0.3">
      <c r="A23" s="19"/>
      <c r="B23" s="22" t="s">
        <v>37</v>
      </c>
      <c r="C23" s="23">
        <v>2348471</v>
      </c>
      <c r="D23" s="19"/>
      <c r="M23" s="19"/>
      <c r="N23" s="25" t="s">
        <v>89</v>
      </c>
      <c r="O23" s="26">
        <v>10504672</v>
      </c>
      <c r="P23" s="19"/>
      <c r="Q23" s="19"/>
      <c r="R23" s="19"/>
    </row>
    <row r="24" spans="1:18" ht="17.399999999999999" customHeight="1" x14ac:dyDescent="0.3">
      <c r="A24" s="19"/>
      <c r="B24" s="22" t="s">
        <v>41</v>
      </c>
      <c r="C24" s="23">
        <v>2303967</v>
      </c>
      <c r="D24" s="19"/>
      <c r="M24" s="19"/>
      <c r="N24" s="19"/>
      <c r="O24" s="19"/>
      <c r="P24" s="19"/>
      <c r="Q24" s="19"/>
    </row>
    <row r="25" spans="1:18" x14ac:dyDescent="0.3">
      <c r="A25" s="19"/>
      <c r="B25" s="25" t="s">
        <v>89</v>
      </c>
      <c r="C25" s="26">
        <v>10504672</v>
      </c>
      <c r="D25" s="19"/>
      <c r="M25" s="19"/>
      <c r="N25" s="19"/>
      <c r="O25" s="19"/>
      <c r="P25" s="19"/>
      <c r="Q25" s="19"/>
    </row>
    <row r="26" spans="1:18" x14ac:dyDescent="0.3">
      <c r="A26" s="19"/>
      <c r="B26" s="19"/>
      <c r="C26" s="19"/>
      <c r="D26" s="19"/>
      <c r="E26" s="19"/>
      <c r="F26" s="19"/>
      <c r="G26" s="19"/>
      <c r="H26" s="19"/>
      <c r="I26" s="19"/>
      <c r="J26" s="19"/>
      <c r="K26" s="19"/>
      <c r="L26" s="19"/>
      <c r="M26" s="19"/>
      <c r="N26" s="19"/>
      <c r="O26" s="19"/>
      <c r="P26" s="19"/>
      <c r="Q26" s="19"/>
    </row>
    <row r="27" spans="1:18" x14ac:dyDescent="0.3">
      <c r="A27" s="19"/>
      <c r="B27" s="19"/>
      <c r="C27" s="19"/>
      <c r="D27" s="19"/>
      <c r="E27" s="19"/>
      <c r="F27" s="19"/>
      <c r="G27" s="19"/>
      <c r="H27" s="19"/>
      <c r="I27" s="19"/>
      <c r="J27" s="19"/>
      <c r="K27" s="19"/>
      <c r="L27" s="19"/>
      <c r="M27" s="19"/>
      <c r="N27" s="19"/>
      <c r="O27" s="19"/>
      <c r="P27" s="19"/>
      <c r="Q27" s="19"/>
    </row>
    <row r="28" spans="1:18" x14ac:dyDescent="0.3">
      <c r="A28" s="19"/>
      <c r="B28" s="19"/>
      <c r="C28" s="19"/>
      <c r="D28" s="19"/>
      <c r="E28" s="19"/>
      <c r="F28" s="19"/>
      <c r="G28" s="19"/>
      <c r="H28" s="19"/>
      <c r="I28" s="19"/>
      <c r="J28" s="19"/>
      <c r="K28" s="19"/>
      <c r="L28" s="19"/>
      <c r="M28" s="19"/>
      <c r="N28" s="19"/>
      <c r="O28" s="19"/>
      <c r="P28" s="19"/>
      <c r="Q28" s="19"/>
    </row>
    <row r="29" spans="1:18" x14ac:dyDescent="0.3">
      <c r="A29" s="19"/>
      <c r="B29" s="19"/>
      <c r="C29" s="19"/>
      <c r="D29" s="19"/>
      <c r="E29" s="19"/>
      <c r="F29" s="19"/>
      <c r="G29" s="19"/>
      <c r="H29" s="19"/>
      <c r="I29" s="19"/>
      <c r="J29" s="19"/>
      <c r="K29" s="19"/>
      <c r="L29" s="19"/>
      <c r="M29" s="19"/>
      <c r="N29" s="19"/>
      <c r="O29" s="19"/>
      <c r="P29" s="19"/>
      <c r="Q29" s="19"/>
    </row>
    <row r="30" spans="1:18" x14ac:dyDescent="0.3">
      <c r="A30" s="19"/>
      <c r="B30" s="19"/>
      <c r="C30" s="19"/>
      <c r="D30" s="19"/>
      <c r="E30" s="19"/>
      <c r="F30" s="19"/>
      <c r="G30" s="19"/>
      <c r="H30" s="19"/>
      <c r="I30" s="19"/>
      <c r="J30" s="19"/>
      <c r="K30" s="19"/>
      <c r="L30" s="19"/>
      <c r="M30" s="19"/>
      <c r="N30" s="19"/>
      <c r="O30" s="19"/>
      <c r="P30" s="19"/>
      <c r="Q30" s="19"/>
    </row>
    <row r="31" spans="1:18" x14ac:dyDescent="0.3">
      <c r="A31" s="19"/>
      <c r="B31" s="19"/>
      <c r="C31" s="19"/>
      <c r="D31" s="19"/>
      <c r="E31" s="19"/>
      <c r="F31" s="19"/>
      <c r="G31" s="19"/>
      <c r="H31" s="19"/>
      <c r="I31" s="19"/>
      <c r="J31" s="19"/>
      <c r="K31" s="19"/>
      <c r="L31" s="19"/>
      <c r="M31" s="19"/>
      <c r="N31" s="19"/>
      <c r="O31" s="19"/>
      <c r="P31" s="19"/>
      <c r="Q31" s="19"/>
    </row>
    <row r="32" spans="1:18" x14ac:dyDescent="0.3">
      <c r="A32" s="19"/>
      <c r="B32" s="19"/>
      <c r="C32" s="19"/>
      <c r="D32" s="19"/>
      <c r="E32" s="19"/>
      <c r="F32" s="19"/>
      <c r="G32" s="19"/>
      <c r="H32" s="19"/>
      <c r="I32" s="19"/>
      <c r="J32" s="19"/>
      <c r="K32" s="19"/>
      <c r="L32" s="19"/>
      <c r="M32" s="19"/>
      <c r="N32" s="19"/>
      <c r="O32" s="19"/>
      <c r="P32" s="19"/>
      <c r="Q32" s="19"/>
    </row>
    <row r="33" spans="1:17" x14ac:dyDescent="0.3">
      <c r="A33" s="19"/>
      <c r="B33" s="19"/>
      <c r="C33" s="19"/>
      <c r="D33" s="19"/>
      <c r="E33" s="19"/>
      <c r="F33" s="19"/>
      <c r="G33" s="19"/>
      <c r="H33" s="19"/>
      <c r="I33" s="19"/>
      <c r="J33" s="19"/>
      <c r="K33" s="19"/>
      <c r="L33" s="19"/>
      <c r="M33" s="19"/>
      <c r="N33" s="19"/>
      <c r="O33" s="19"/>
      <c r="P33" s="19"/>
      <c r="Q33" s="19"/>
    </row>
    <row r="34" spans="1:17" x14ac:dyDescent="0.3">
      <c r="A34" s="19"/>
      <c r="B34" s="19"/>
      <c r="C34" s="19"/>
      <c r="D34" s="19"/>
      <c r="E34" s="19"/>
      <c r="F34" s="19"/>
      <c r="G34" s="19"/>
      <c r="H34" s="19"/>
      <c r="I34" s="19"/>
      <c r="J34" s="19"/>
      <c r="K34" s="19"/>
      <c r="L34" s="19"/>
      <c r="M34" s="19"/>
      <c r="N34" s="19"/>
      <c r="O34" s="19"/>
      <c r="P34" s="19"/>
      <c r="Q34" s="19"/>
    </row>
    <row r="35" spans="1:17" x14ac:dyDescent="0.3">
      <c r="A35" s="19"/>
      <c r="B35" s="19"/>
      <c r="C35" s="19"/>
      <c r="D35" s="19"/>
      <c r="E35" s="19"/>
      <c r="F35" s="19"/>
      <c r="G35" s="19"/>
      <c r="H35" s="19"/>
      <c r="I35" s="19"/>
      <c r="J35" s="19"/>
      <c r="K35" s="19"/>
      <c r="L35" s="19"/>
      <c r="M35" s="19"/>
      <c r="N35" s="19"/>
      <c r="O35" s="19"/>
      <c r="P35" s="19"/>
      <c r="Q35" s="19"/>
    </row>
    <row r="36" spans="1:17" x14ac:dyDescent="0.3">
      <c r="B36" s="19"/>
      <c r="C36" s="19"/>
      <c r="D36" s="19"/>
      <c r="E36" s="19"/>
      <c r="F36" s="19"/>
      <c r="G36" s="19"/>
      <c r="H36" s="19"/>
      <c r="I36" s="19"/>
      <c r="J36" s="19"/>
      <c r="K36" s="19"/>
      <c r="L36" s="19"/>
      <c r="M36" s="19"/>
      <c r="N36" s="19"/>
      <c r="O36" s="19"/>
      <c r="P36" s="19"/>
      <c r="Q36" s="19"/>
    </row>
    <row r="37" spans="1:17" x14ac:dyDescent="0.3">
      <c r="B37" s="19"/>
      <c r="C37" s="19"/>
      <c r="D37" s="19"/>
      <c r="E37" s="19"/>
      <c r="F37" s="19"/>
      <c r="G37" s="19"/>
      <c r="H37" s="19"/>
      <c r="I37" s="19"/>
      <c r="J37" s="19"/>
      <c r="K37" s="19"/>
      <c r="L37" s="19"/>
      <c r="M37" s="19"/>
      <c r="N37" s="19"/>
      <c r="O37" s="19"/>
      <c r="P37" s="19"/>
      <c r="Q37" s="19"/>
    </row>
    <row r="38" spans="1:17" x14ac:dyDescent="0.3">
      <c r="B38" s="19"/>
      <c r="C38" s="19"/>
      <c r="D38" s="19"/>
      <c r="E38" s="19"/>
      <c r="F38" s="19"/>
      <c r="G38" s="19"/>
      <c r="H38" s="19"/>
      <c r="I38" s="19"/>
      <c r="J38" s="19"/>
      <c r="K38" s="19"/>
      <c r="L38" s="19"/>
      <c r="M38" s="19"/>
      <c r="N38" s="19"/>
      <c r="O38" s="19"/>
      <c r="P38" s="19"/>
      <c r="Q38" s="19"/>
    </row>
    <row r="39" spans="1:17" x14ac:dyDescent="0.3">
      <c r="B39" s="19"/>
      <c r="C39" s="19"/>
      <c r="D39" s="19"/>
      <c r="E39" s="19"/>
      <c r="F39" s="19"/>
      <c r="G39" s="19"/>
      <c r="H39" s="19"/>
      <c r="I39" s="19"/>
      <c r="J39" s="19"/>
      <c r="K39" s="19"/>
      <c r="L39" s="19"/>
      <c r="M39" s="19"/>
      <c r="N39" s="19"/>
      <c r="O39" s="19"/>
      <c r="P39" s="19"/>
      <c r="Q39" s="19"/>
    </row>
    <row r="40" spans="1:17" x14ac:dyDescent="0.3">
      <c r="B40" s="19"/>
      <c r="C40" s="19"/>
      <c r="D40" s="19"/>
      <c r="E40" s="19"/>
      <c r="F40" s="19"/>
      <c r="G40" s="19"/>
      <c r="H40" s="19"/>
      <c r="I40" s="19"/>
      <c r="J40" s="19"/>
      <c r="K40" s="19"/>
      <c r="L40" s="19"/>
      <c r="M40" s="19"/>
      <c r="N40" s="19"/>
      <c r="O40" s="19"/>
      <c r="P40" s="19"/>
      <c r="Q40" s="19"/>
    </row>
    <row r="41" spans="1:17" x14ac:dyDescent="0.3">
      <c r="B41" s="19"/>
      <c r="C41" s="19"/>
      <c r="D41" s="19"/>
      <c r="E41" s="19"/>
      <c r="F41" s="19"/>
      <c r="G41" s="19"/>
      <c r="H41" s="19"/>
      <c r="I41" s="19"/>
      <c r="J41" s="19"/>
      <c r="K41" s="19"/>
      <c r="L41" s="19"/>
      <c r="M41" s="19"/>
      <c r="N41" s="19"/>
      <c r="O41" s="19"/>
      <c r="P41" s="19"/>
      <c r="Q41" s="19"/>
    </row>
    <row r="42" spans="1:17" x14ac:dyDescent="0.3">
      <c r="B42" s="19"/>
      <c r="C42" s="19"/>
      <c r="D42" s="19"/>
      <c r="E42" s="19"/>
      <c r="F42" s="19"/>
      <c r="G42" s="19"/>
      <c r="H42" s="19"/>
      <c r="I42" s="19"/>
      <c r="J42" s="19"/>
      <c r="K42" s="19"/>
      <c r="L42" s="19"/>
      <c r="M42" s="19"/>
      <c r="N42" s="19"/>
      <c r="O42" s="19"/>
    </row>
    <row r="43" spans="1:17" x14ac:dyDescent="0.3">
      <c r="B43" s="19"/>
      <c r="C43" s="19"/>
      <c r="D43" s="19"/>
      <c r="E43" s="19"/>
      <c r="F43" s="19"/>
      <c r="G43" s="19"/>
      <c r="H43" s="19"/>
      <c r="I43" s="19"/>
      <c r="J43" s="19"/>
      <c r="K43" s="19"/>
      <c r="L43" s="19"/>
      <c r="M43" s="19"/>
      <c r="N43" s="19"/>
      <c r="O43" s="19"/>
    </row>
  </sheetData>
  <mergeCells count="3">
    <mergeCell ref="A4:C5"/>
    <mergeCell ref="E4:L5"/>
    <mergeCell ref="N4:P5"/>
  </mergeCells>
  <pageMargins left="0.7" right="0.7" top="0.75" bottom="0.75" header="0.3" footer="0.3"/>
  <pageSetup orientation="portrait" r:id="rId3"/>
  <drawing r:id="rId4"/>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96FF78B0-AC3A-49CE-B407-8A0EB240695C}">
          <x14:formula1>
            <xm:f>Bills_Tracking!$A:$A</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8479-A9F7-489A-AE13-42C0DE2CCD11}">
  <sheetPr codeName="Sheet3"/>
  <dimension ref="A1:P28"/>
  <sheetViews>
    <sheetView showGridLines="0" zoomScaleNormal="100" workbookViewId="0">
      <selection activeCell="L15" sqref="L15"/>
    </sheetView>
  </sheetViews>
  <sheetFormatPr defaultRowHeight="14.4" x14ac:dyDescent="0.3"/>
  <cols>
    <col min="1" max="1" width="20.33203125" bestFit="1" customWidth="1"/>
    <col min="2" max="2" width="19.77734375" bestFit="1" customWidth="1"/>
    <col min="4" max="4" width="14.33203125" customWidth="1"/>
    <col min="5" max="5" width="14.88671875" bestFit="1" customWidth="1"/>
    <col min="7" max="7" width="16.21875" customWidth="1"/>
    <col min="8" max="8" width="8.5546875" customWidth="1"/>
    <col min="9" max="9" width="14.77734375" bestFit="1" customWidth="1"/>
    <col min="10" max="10" width="14.88671875" bestFit="1" customWidth="1"/>
    <col min="13" max="13" width="14.77734375" bestFit="1" customWidth="1"/>
    <col min="14" max="14" width="19.77734375" bestFit="1" customWidth="1"/>
  </cols>
  <sheetData>
    <row r="1" spans="1:16" x14ac:dyDescent="0.3">
      <c r="A1" s="35" t="s">
        <v>109</v>
      </c>
      <c r="B1" s="35"/>
      <c r="C1" s="35"/>
      <c r="D1" s="35"/>
      <c r="E1" s="35"/>
      <c r="F1" s="35"/>
      <c r="G1" s="35"/>
      <c r="H1" s="35"/>
      <c r="I1" s="35"/>
      <c r="J1" s="35"/>
      <c r="K1" s="35"/>
      <c r="L1" s="35"/>
      <c r="M1" s="35"/>
      <c r="N1" s="35"/>
      <c r="O1" s="35"/>
      <c r="P1" s="35"/>
    </row>
    <row r="2" spans="1:16" x14ac:dyDescent="0.3">
      <c r="A2" s="35"/>
      <c r="B2" s="35"/>
      <c r="C2" s="35"/>
      <c r="D2" s="35"/>
      <c r="E2" s="35"/>
      <c r="F2" s="35"/>
      <c r="G2" s="35"/>
      <c r="H2" s="35"/>
      <c r="I2" s="35"/>
      <c r="J2" s="35"/>
      <c r="K2" s="35"/>
      <c r="L2" s="35"/>
      <c r="M2" s="35"/>
      <c r="N2" s="35"/>
      <c r="O2" s="35"/>
      <c r="P2" s="35"/>
    </row>
    <row r="4" spans="1:16" x14ac:dyDescent="0.3">
      <c r="D4" t="b">
        <v>0</v>
      </c>
      <c r="H4" t="b">
        <v>0</v>
      </c>
    </row>
    <row r="5" spans="1:16" x14ac:dyDescent="0.3">
      <c r="G5" s="1"/>
      <c r="H5" s="1"/>
      <c r="I5" s="1"/>
      <c r="J5" s="1"/>
      <c r="L5" s="1"/>
      <c r="M5" s="1" t="b">
        <v>0</v>
      </c>
      <c r="N5" s="1"/>
    </row>
    <row r="6" spans="1:16" x14ac:dyDescent="0.3">
      <c r="G6" s="1"/>
      <c r="J6" s="1"/>
      <c r="L6" s="1"/>
    </row>
    <row r="7" spans="1:16" ht="18" x14ac:dyDescent="0.35">
      <c r="A7" s="30" t="s">
        <v>105</v>
      </c>
      <c r="B7" s="36" t="s">
        <v>106</v>
      </c>
      <c r="C7" s="36"/>
      <c r="D7" s="36"/>
      <c r="F7" s="36" t="s">
        <v>108</v>
      </c>
      <c r="G7" s="36"/>
      <c r="H7" s="36"/>
      <c r="I7" s="36"/>
      <c r="J7" s="1"/>
      <c r="K7" s="36" t="s">
        <v>107</v>
      </c>
      <c r="L7" s="36"/>
      <c r="M7" s="36"/>
      <c r="N7" s="36"/>
    </row>
    <row r="8" spans="1:16" x14ac:dyDescent="0.3">
      <c r="G8" s="1"/>
      <c r="J8" s="1"/>
      <c r="L8" s="1"/>
    </row>
    <row r="9" spans="1:16" x14ac:dyDescent="0.3">
      <c r="G9" s="1"/>
      <c r="L9" s="1"/>
    </row>
    <row r="10" spans="1:16" x14ac:dyDescent="0.3">
      <c r="G10" s="1"/>
      <c r="L10" s="1"/>
    </row>
    <row r="11" spans="1:16" x14ac:dyDescent="0.3">
      <c r="G11" s="1"/>
      <c r="H11" s="1"/>
      <c r="L11" s="1"/>
    </row>
    <row r="12" spans="1:16" x14ac:dyDescent="0.3">
      <c r="G12" s="1"/>
      <c r="H12" s="1"/>
      <c r="L12" s="1"/>
    </row>
    <row r="13" spans="1:16" x14ac:dyDescent="0.3">
      <c r="G13" s="1"/>
      <c r="H13" s="1"/>
      <c r="L13" s="1"/>
    </row>
    <row r="14" spans="1:16" x14ac:dyDescent="0.3">
      <c r="G14" s="1"/>
      <c r="H14" s="1"/>
      <c r="I14" s="1"/>
      <c r="J14" s="1"/>
      <c r="L14" s="1"/>
    </row>
    <row r="15" spans="1:16" x14ac:dyDescent="0.3">
      <c r="L15" s="1"/>
    </row>
    <row r="16" spans="1:16" x14ac:dyDescent="0.3">
      <c r="L16" s="1"/>
    </row>
    <row r="17" spans="1:12" x14ac:dyDescent="0.3">
      <c r="L17" s="1"/>
    </row>
    <row r="18" spans="1:12" x14ac:dyDescent="0.3">
      <c r="L18" s="1"/>
    </row>
    <row r="19" spans="1:12" x14ac:dyDescent="0.3">
      <c r="L19" s="1"/>
    </row>
    <row r="20" spans="1:12" x14ac:dyDescent="0.3">
      <c r="L20" s="1"/>
    </row>
    <row r="21" spans="1:12" x14ac:dyDescent="0.3">
      <c r="L21" s="1"/>
    </row>
    <row r="22" spans="1:12" x14ac:dyDescent="0.3">
      <c r="L22" s="1"/>
    </row>
    <row r="28" spans="1:12" x14ac:dyDescent="0.3">
      <c r="A28" s="1"/>
      <c r="B28" s="1"/>
    </row>
  </sheetData>
  <mergeCells count="4">
    <mergeCell ref="A1:P2"/>
    <mergeCell ref="B7:D7"/>
    <mergeCell ref="F7:I7"/>
    <mergeCell ref="K7: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macro="[0]!slicersetting">
                <anchor moveWithCells="1">
                  <from>
                    <xdr:col>1</xdr:col>
                    <xdr:colOff>541020</xdr:colOff>
                    <xdr:row>12</xdr:row>
                    <xdr:rowOff>137160</xdr:rowOff>
                  </from>
                  <to>
                    <xdr:col>3</xdr:col>
                    <xdr:colOff>480060</xdr:colOff>
                    <xdr:row>15</xdr:row>
                    <xdr:rowOff>76200</xdr:rowOff>
                  </to>
                </anchor>
              </controlPr>
            </control>
          </mc:Choice>
        </mc:AlternateContent>
        <mc:AlternateContent xmlns:mc="http://schemas.openxmlformats.org/markup-compatibility/2006">
          <mc:Choice Requires="x14">
            <control shapeId="2051" r:id="rId5" name="Check Box 3">
              <controlPr defaultSize="0" autoFill="0" autoLine="0" autoPict="0" macro="[0]!slicersetting">
                <anchor moveWithCells="1">
                  <from>
                    <xdr:col>6</xdr:col>
                    <xdr:colOff>533400</xdr:colOff>
                    <xdr:row>13</xdr:row>
                    <xdr:rowOff>91440</xdr:rowOff>
                  </from>
                  <to>
                    <xdr:col>8</xdr:col>
                    <xdr:colOff>480060</xdr:colOff>
                    <xdr:row>14</xdr:row>
                    <xdr:rowOff>129540</xdr:rowOff>
                  </to>
                </anchor>
              </controlPr>
            </control>
          </mc:Choice>
        </mc:AlternateContent>
        <mc:AlternateContent xmlns:mc="http://schemas.openxmlformats.org/markup-compatibility/2006">
          <mc:Choice Requires="x14">
            <control shapeId="2052" r:id="rId6" name="Check Box 4">
              <controlPr defaultSize="0" autoFill="0" autoLine="0" autoPict="0" macro="[0]!slicersetting">
                <anchor moveWithCells="1">
                  <from>
                    <xdr:col>12</xdr:col>
                    <xdr:colOff>297180</xdr:colOff>
                    <xdr:row>13</xdr:row>
                    <xdr:rowOff>106680</xdr:rowOff>
                  </from>
                  <to>
                    <xdr:col>13</xdr:col>
                    <xdr:colOff>609600</xdr:colOff>
                    <xdr:row>14</xdr:row>
                    <xdr:rowOff>144780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8DC85-BD8B-41F0-A33D-A4BE3D155DC4}">
  <sheetPr codeName="Sheet4"/>
  <dimension ref="A1:AD26"/>
  <sheetViews>
    <sheetView workbookViewId="0">
      <selection activeCell="G27" sqref="G27"/>
    </sheetView>
  </sheetViews>
  <sheetFormatPr defaultRowHeight="14.4" x14ac:dyDescent="0.3"/>
  <cols>
    <col min="2" max="2" width="20.33203125" bestFit="1" customWidth="1"/>
    <col min="3" max="3" width="19.77734375" bestFit="1" customWidth="1"/>
    <col min="4" max="4" width="3" customWidth="1"/>
    <col min="5" max="5" width="2.77734375" customWidth="1"/>
    <col min="6" max="6" width="14.77734375" bestFit="1" customWidth="1"/>
    <col min="7" max="7" width="19.77734375" bestFit="1" customWidth="1"/>
    <col min="8" max="8" width="2.44140625" customWidth="1"/>
    <col min="9" max="9" width="2.88671875" customWidth="1"/>
    <col min="10" max="10" width="14.77734375" bestFit="1" customWidth="1"/>
    <col min="11" max="11" width="14.88671875" bestFit="1" customWidth="1"/>
  </cols>
  <sheetData>
    <row r="1" spans="1:30" x14ac:dyDescent="0.3">
      <c r="A1" s="35" t="s">
        <v>102</v>
      </c>
      <c r="B1" s="37"/>
      <c r="C1" s="37"/>
      <c r="D1" s="37"/>
      <c r="E1" s="37"/>
      <c r="F1" s="37"/>
      <c r="G1" s="37"/>
      <c r="H1" s="37"/>
      <c r="I1" s="37"/>
      <c r="J1" s="37"/>
      <c r="K1" s="37"/>
      <c r="L1" s="37"/>
      <c r="M1" s="37"/>
      <c r="N1" s="37"/>
      <c r="O1" s="37"/>
      <c r="P1" s="35"/>
      <c r="Q1" s="37"/>
      <c r="R1" s="37"/>
      <c r="S1" s="37"/>
      <c r="T1" s="37"/>
      <c r="U1" s="37"/>
      <c r="V1" s="37"/>
      <c r="W1" s="37"/>
      <c r="X1" s="37"/>
      <c r="Y1" s="37"/>
      <c r="Z1" s="37"/>
      <c r="AA1" s="37"/>
      <c r="AB1" s="37"/>
      <c r="AC1" s="37"/>
      <c r="AD1" s="37"/>
    </row>
    <row r="2" spans="1:30" x14ac:dyDescent="0.3">
      <c r="A2" s="37"/>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row>
    <row r="4" spans="1:30" ht="18" x14ac:dyDescent="0.35">
      <c r="B4" s="38" t="s">
        <v>103</v>
      </c>
      <c r="C4" s="39"/>
      <c r="F4" s="38" t="s">
        <v>104</v>
      </c>
      <c r="G4" s="38"/>
      <c r="J4" s="38" t="s">
        <v>86</v>
      </c>
      <c r="K4" s="38"/>
    </row>
    <row r="5" spans="1:30" x14ac:dyDescent="0.3">
      <c r="B5" s="13" t="s">
        <v>88</v>
      </c>
      <c r="C5" s="14" t="s">
        <v>90</v>
      </c>
      <c r="F5" s="16" t="s">
        <v>88</v>
      </c>
      <c r="G5" s="17" t="s">
        <v>90</v>
      </c>
      <c r="J5" s="12" t="s">
        <v>88</v>
      </c>
      <c r="K5" s="1" t="s">
        <v>94</v>
      </c>
    </row>
    <row r="6" spans="1:30" x14ac:dyDescent="0.3">
      <c r="B6" s="14" t="s">
        <v>36</v>
      </c>
      <c r="C6" s="15">
        <v>783735</v>
      </c>
      <c r="F6" s="17" t="s">
        <v>17</v>
      </c>
      <c r="G6" s="27">
        <v>2223907</v>
      </c>
      <c r="J6" s="14" t="s">
        <v>15</v>
      </c>
      <c r="K6" s="14">
        <v>1336</v>
      </c>
    </row>
    <row r="7" spans="1:30" x14ac:dyDescent="0.3">
      <c r="B7" s="14" t="s">
        <v>74</v>
      </c>
      <c r="C7" s="15">
        <v>782798</v>
      </c>
      <c r="F7" s="29" t="s">
        <v>92</v>
      </c>
      <c r="G7" s="28">
        <v>1560668</v>
      </c>
      <c r="J7" s="14" t="s">
        <v>22</v>
      </c>
      <c r="K7" s="14">
        <v>1772</v>
      </c>
    </row>
    <row r="8" spans="1:30" x14ac:dyDescent="0.3">
      <c r="B8" s="14" t="s">
        <v>40</v>
      </c>
      <c r="C8" s="15">
        <v>683240</v>
      </c>
      <c r="F8" s="17" t="s">
        <v>93</v>
      </c>
      <c r="G8" s="27">
        <v>663239</v>
      </c>
      <c r="J8" s="14" t="s">
        <v>27</v>
      </c>
      <c r="K8" s="14">
        <v>1553</v>
      </c>
    </row>
    <row r="9" spans="1:30" x14ac:dyDescent="0.3">
      <c r="B9" s="14" t="s">
        <v>11</v>
      </c>
      <c r="C9" s="15">
        <v>645746</v>
      </c>
      <c r="F9" s="17" t="s">
        <v>23</v>
      </c>
      <c r="G9" s="27">
        <v>1527428</v>
      </c>
      <c r="J9" s="1" t="s">
        <v>89</v>
      </c>
      <c r="K9" s="1">
        <v>4661</v>
      </c>
    </row>
    <row r="10" spans="1:30" x14ac:dyDescent="0.3">
      <c r="B10" s="14" t="s">
        <v>77</v>
      </c>
      <c r="C10" s="15">
        <v>631784</v>
      </c>
      <c r="F10" s="29" t="s">
        <v>92</v>
      </c>
      <c r="G10" s="28">
        <v>1058410</v>
      </c>
    </row>
    <row r="11" spans="1:30" x14ac:dyDescent="0.3">
      <c r="B11" s="14" t="s">
        <v>79</v>
      </c>
      <c r="C11" s="15">
        <v>594095</v>
      </c>
      <c r="F11" s="17" t="s">
        <v>93</v>
      </c>
      <c r="G11" s="27">
        <v>469018</v>
      </c>
    </row>
    <row r="12" spans="1:30" x14ac:dyDescent="0.3">
      <c r="B12" s="14" t="s">
        <v>56</v>
      </c>
      <c r="C12" s="15">
        <v>569207</v>
      </c>
      <c r="F12" s="17" t="s">
        <v>29</v>
      </c>
      <c r="G12" s="27">
        <v>2141031</v>
      </c>
    </row>
    <row r="13" spans="1:30" x14ac:dyDescent="0.3">
      <c r="B13" s="14" t="s">
        <v>78</v>
      </c>
      <c r="C13" s="15">
        <v>552437</v>
      </c>
      <c r="F13" s="29" t="s">
        <v>92</v>
      </c>
      <c r="G13" s="28">
        <v>1403652</v>
      </c>
    </row>
    <row r="14" spans="1:30" x14ac:dyDescent="0.3">
      <c r="B14" s="14" t="s">
        <v>76</v>
      </c>
      <c r="C14" s="15">
        <v>528008</v>
      </c>
      <c r="F14" s="17" t="s">
        <v>93</v>
      </c>
      <c r="G14" s="27">
        <v>737379</v>
      </c>
    </row>
    <row r="15" spans="1:30" x14ac:dyDescent="0.3">
      <c r="B15" s="14" t="s">
        <v>49</v>
      </c>
      <c r="C15" s="15">
        <v>527804</v>
      </c>
      <c r="F15" s="17" t="s">
        <v>44</v>
      </c>
      <c r="G15" s="27">
        <v>2403132</v>
      </c>
    </row>
    <row r="16" spans="1:30" x14ac:dyDescent="0.3">
      <c r="B16" s="14" t="s">
        <v>62</v>
      </c>
      <c r="C16" s="15">
        <v>494382</v>
      </c>
      <c r="F16" s="29" t="s">
        <v>92</v>
      </c>
      <c r="G16" s="28">
        <v>1690074</v>
      </c>
    </row>
    <row r="17" spans="2:7" x14ac:dyDescent="0.3">
      <c r="B17" s="14" t="s">
        <v>30</v>
      </c>
      <c r="C17" s="15">
        <v>470771</v>
      </c>
      <c r="F17" s="17" t="s">
        <v>93</v>
      </c>
      <c r="G17" s="27">
        <v>713058</v>
      </c>
    </row>
    <row r="18" spans="2:7" x14ac:dyDescent="0.3">
      <c r="B18" s="14" t="s">
        <v>34</v>
      </c>
      <c r="C18" s="15">
        <v>459227</v>
      </c>
      <c r="F18" s="17" t="s">
        <v>33</v>
      </c>
      <c r="G18" s="27">
        <v>2209174</v>
      </c>
    </row>
    <row r="19" spans="2:7" x14ac:dyDescent="0.3">
      <c r="B19" s="14" t="s">
        <v>24</v>
      </c>
      <c r="C19" s="15">
        <v>429941</v>
      </c>
      <c r="F19" s="29" t="s">
        <v>92</v>
      </c>
      <c r="G19" s="28">
        <v>1444136</v>
      </c>
    </row>
    <row r="20" spans="2:7" x14ac:dyDescent="0.3">
      <c r="B20" s="14" t="s">
        <v>65</v>
      </c>
      <c r="C20" s="15">
        <v>429608</v>
      </c>
      <c r="F20" s="17" t="s">
        <v>93</v>
      </c>
      <c r="G20" s="27">
        <v>765038</v>
      </c>
    </row>
    <row r="21" spans="2:7" x14ac:dyDescent="0.3">
      <c r="B21" s="14" t="s">
        <v>57</v>
      </c>
      <c r="C21" s="15">
        <v>427043</v>
      </c>
      <c r="F21" s="1" t="s">
        <v>89</v>
      </c>
      <c r="G21" s="5">
        <v>10504672</v>
      </c>
    </row>
    <row r="22" spans="2:7" x14ac:dyDescent="0.3">
      <c r="B22" s="14" t="s">
        <v>45</v>
      </c>
      <c r="C22" s="15">
        <v>406262</v>
      </c>
    </row>
    <row r="23" spans="2:7" x14ac:dyDescent="0.3">
      <c r="B23" s="14" t="s">
        <v>18</v>
      </c>
      <c r="C23" s="15">
        <v>390418</v>
      </c>
    </row>
    <row r="24" spans="2:7" x14ac:dyDescent="0.3">
      <c r="B24" s="14" t="s">
        <v>51</v>
      </c>
      <c r="C24" s="15">
        <v>381666</v>
      </c>
    </row>
    <row r="25" spans="2:7" x14ac:dyDescent="0.3">
      <c r="B25" s="14" t="s">
        <v>67</v>
      </c>
      <c r="C25" s="15">
        <v>316500</v>
      </c>
    </row>
    <row r="26" spans="2:7" x14ac:dyDescent="0.3">
      <c r="B26" s="14" t="s">
        <v>89</v>
      </c>
      <c r="C26" s="15">
        <v>10504672</v>
      </c>
    </row>
  </sheetData>
  <mergeCells count="5">
    <mergeCell ref="A1:O2"/>
    <mergeCell ref="B4:C4"/>
    <mergeCell ref="F4:G4"/>
    <mergeCell ref="J4:K4"/>
    <mergeCell ref="P1:AD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Bills_Tracking</vt:lpstr>
      <vt:lpstr>data_fetch1</vt:lpstr>
      <vt:lpstr>slicer</vt:lpstr>
      <vt:lpstr>pivot data1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23bmc060@ietdavv.edu.in</cp:lastModifiedBy>
  <dcterms:created xsi:type="dcterms:W3CDTF">2026-05-31T08:57:18Z</dcterms:created>
  <dcterms:modified xsi:type="dcterms:W3CDTF">2026-06-08T16:32:08Z</dcterms:modified>
</cp:coreProperties>
</file>